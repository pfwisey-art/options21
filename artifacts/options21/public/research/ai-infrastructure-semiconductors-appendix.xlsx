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Financials" sheetId="1" state="visible" r:id="rId3"/>
    <sheet name="Hyperscaler Capex Tracker" sheetId="2" state="visible" r:id="rId4"/>
    <sheet name="Valuation Comps" sheetId="3" state="visible" r:id="rId5"/>
    <sheet name="Market Size Estimates" sheetId="4" state="visible" r:id="rId6"/>
    <sheet name="Sour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<sst xmlns="http://schemas.openxmlformats.org/spreadsheetml/2006/main" count="449" uniqueCount="398">
  <si>
    <t xml:space="preserve">AI Infrastructure &amp; Semiconductors — Company Financials</t>
  </si>
  <si>
    <t xml:space="preserve">Most recently reported quarterly/fiscal-year figures as of data cutoff Aug. 25, 2026. See Sources tab for full citations.</t>
  </si>
  <si>
    <t xml:space="preserve">Company</t>
  </si>
  <si>
    <t xml:space="preserve">Ticker</t>
  </si>
  <si>
    <t xml:space="preserve">Segment</t>
  </si>
  <si>
    <t xml:space="preserve">Latest Period</t>
  </si>
  <si>
    <t xml:space="preserve">Segment/Total Revenue</t>
  </si>
  <si>
    <t xml:space="preserve">YoY Growth</t>
  </si>
  <si>
    <t xml:space="preserve">Gross Margin</t>
  </si>
  <si>
    <t xml:space="preserve">Key Metric</t>
  </si>
  <si>
    <t xml:space="preserve">Source</t>
  </si>
  <si>
    <t xml:space="preserve">NVIDIA</t>
  </si>
  <si>
    <t xml:space="preserve">NVDA</t>
  </si>
  <si>
    <t xml:space="preserve">Merchant GPU</t>
  </si>
  <si>
    <t xml:space="preserve">Q1 FY2027 (ended Apr. 2026)</t>
  </si>
  <si>
    <t xml:space="preserve">$81.6B total / $75.2B data center</t>
  </si>
  <si>
    <t xml:space="preserve">+85% total / +92% DC</t>
  </si>
  <si>
    <t xml:space="preserve">~72% (non-GAAP)</t>
  </si>
  <si>
    <t xml:space="preserve">Data center = 92% of total revenue</t>
  </si>
  <si>
    <t xml:space="preserve">NVIDIA Q1 FY27 press release; Form 8-K (SEC EDGAR)</t>
  </si>
  <si>
    <t xml:space="preserve">FY2026 (ended Jan. 2026, full year)</t>
  </si>
  <si>
    <t xml:space="preserve">$215.9B total / ~$193.7B data center</t>
  </si>
  <si>
    <t xml:space="preserve">+65% total</t>
  </si>
  <si>
    <t xml:space="preserve">~72%</t>
  </si>
  <si>
    <t xml:space="preserve">Full-year data center = ~90% of revenue</t>
  </si>
  <si>
    <t xml:space="preserve">NVIDIA FY26 Q4 press release; Form 8-K</t>
  </si>
  <si>
    <t xml:space="preserve">AMD</t>
  </si>
  <si>
    <t xml:space="preserve">Merchant GPU/CPU</t>
  </si>
  <si>
    <t xml:space="preserve">Q2 2026 (ended Jun. 2026)</t>
  </si>
  <si>
    <t xml:space="preserve">$11.5B total / $6.7B data center</t>
  </si>
  <si>
    <t xml:space="preserve">+50% total / +107% DC</t>
  </si>
  <si>
    <t xml:space="preserve">n/a disclosed</t>
  </si>
  <si>
    <t xml:space="preserve">Data center = 58% of company revenue</t>
  </si>
  <si>
    <t xml:space="preserve">AMD Q2 2026 Form 8-K (SEC EDGAR); earnings call transcript</t>
  </si>
  <si>
    <t xml:space="preserve">Q1 2026 (ended Mar. 2026)</t>
  </si>
  <si>
    <t xml:space="preserve">$10.25B total / $5.8B data center</t>
  </si>
  <si>
    <t xml:space="preserve">+38% total / +57% DC</t>
  </si>
  <si>
    <t xml:space="preserve">Net income $1.38B, EPS $0.84</t>
  </si>
  <si>
    <t xml:space="preserve">AMD Q1 2026 Form 10-Q; CNBC (May 6, 2026)</t>
  </si>
  <si>
    <t xml:space="preserve">Broadcom</t>
  </si>
  <si>
    <t xml:space="preserve">AVGO</t>
  </si>
  <si>
    <t xml:space="preserve">Custom ASIC/Networking</t>
  </si>
  <si>
    <t xml:space="preserve">Q2 FY2026 (ended ~May 2026)</t>
  </si>
  <si>
    <t xml:space="preserve">$22.19B total / $10.8B AI semis</t>
  </si>
  <si>
    <t xml:space="preserve">+48% total / +143% AI</t>
  </si>
  <si>
    <t xml:space="preserve">AI backlog &gt;$30B; FY26 AI target ~$56B</t>
  </si>
  <si>
    <t xml:space="preserve">Broadcom Q2 FY26 earnings; Tech Insider (Jun. 10, 2026)</t>
  </si>
  <si>
    <t xml:space="preserve">Q1 FY2026 (ended ~Feb. 2026)</t>
  </si>
  <si>
    <t xml:space="preserve">$19.3B total / $8.4B AI semis</t>
  </si>
  <si>
    <t xml:space="preserve">+29% total / +106% AI</t>
  </si>
  <si>
    <t xml:space="preserve">FCF $8.01B (41% of revenue)</t>
  </si>
  <si>
    <t xml:space="preserve">Broadcom Q1 FY26 earnings (Mar. 4, 2026)</t>
  </si>
  <si>
    <t xml:space="preserve">Marvell</t>
  </si>
  <si>
    <t xml:space="preserve">MRVL</t>
  </si>
  <si>
    <t xml:space="preserve">Custom ASIC/Interconnect</t>
  </si>
  <si>
    <t xml:space="preserve">FY2026 (ended Feb. 2026, full year)</t>
  </si>
  <si>
    <t xml:space="preserve">$8.2B total / $6.1B data center</t>
  </si>
  <si>
    <t xml:space="preserve">+42% total (DC)</t>
  </si>
  <si>
    <t xml:space="preserve">Custom silicon run-rate ~$1.5B/yr across 18 design wins</t>
  </si>
  <si>
    <t xml:space="preserve">TheNextWeb (Apr. 19, 2026); company guidance</t>
  </si>
  <si>
    <t xml:space="preserve">TSMC</t>
  </si>
  <si>
    <t xml:space="preserve">TSM / 2330.TW</t>
  </si>
  <si>
    <t xml:space="preserve">Foundry</t>
  </si>
  <si>
    <t xml:space="preserve">$35.9B total</t>
  </si>
  <si>
    <t xml:space="preserve">+41% YoY (+40.6%)</t>
  </si>
  <si>
    <t xml:space="preserve">66.2% (record)</t>
  </si>
  <si>
    <t xml:space="preserve">2026 capex raised to $60-64B (from $52-56B)</t>
  </si>
  <si>
    <t xml:space="preserve">SCMP (Apr. 16, 2026); TechTimes (Jul. 18, 2026)</t>
  </si>
  <si>
    <t xml:space="preserve">Intel</t>
  </si>
  <si>
    <t xml:space="preserve">INTC</t>
  </si>
  <si>
    <t xml:space="preserve">Foundry/CPU/AI</t>
  </si>
  <si>
    <t xml:space="preserve">Q4 2025 (ended ~Dec. 2025)</t>
  </si>
  <si>
    <t xml:space="preserve">$13.7B total</t>
  </si>
  <si>
    <t xml:space="preserve">Beat consensus $13.4B</t>
  </si>
  <si>
    <t xml:space="preserve">37.9% (non-GAAP)</t>
  </si>
  <si>
    <t xml:space="preserve">5th consecutive guidance beat; 18A HVM began late 2025</t>
  </si>
  <si>
    <t xml:space="preserve">Phemex Academy (Mar. 3, 2026)</t>
  </si>
  <si>
    <t xml:space="preserve">Vertiv</t>
  </si>
  <si>
    <t xml:space="preserve">VRT</t>
  </si>
  <si>
    <t xml:space="preserve">Power &amp; Cooling</t>
  </si>
  <si>
    <t xml:space="preserve">$2.65B total</t>
  </si>
  <si>
    <t xml:space="preserve">+30.1% YoY</t>
  </si>
  <si>
    <t xml:space="preserve">Backlog &gt;$15B; FY26 guide $13.5-14.0B</t>
  </si>
  <si>
    <t xml:space="preserve">Seeking Alpha (Jun. 1, 2026); Motley Fool (May 1, 2026)</t>
  </si>
  <si>
    <t xml:space="preserve">Arista Networks</t>
  </si>
  <si>
    <t xml:space="preserve">ANET</t>
  </si>
  <si>
    <t xml:space="preserve">Networking</t>
  </si>
  <si>
    <t xml:space="preserve">FY2025 (full year)</t>
  </si>
  <si>
    <t xml:space="preserve">$9.0B total</t>
  </si>
  <si>
    <t xml:space="preserve">+29% YoY</t>
  </si>
  <si>
    <t xml:space="preserve">2026 AI networking target raised to $3.25B; deferred rev. $5.4B</t>
  </si>
  <si>
    <t xml:space="preserve">Exoswan (Apr. 6, 2026)</t>
  </si>
  <si>
    <t xml:space="preserve">CoreWeave</t>
  </si>
  <si>
    <t xml:space="preserve">CRWV</t>
  </si>
  <si>
    <t xml:space="preserve">Neocloud</t>
  </si>
  <si>
    <t xml:space="preserve">$5.1B total</t>
  </si>
  <si>
    <t xml:space="preserve">n/a (2026 guide +~140%)</t>
  </si>
  <si>
    <t xml:space="preserve">2026 revenue guide $12-13B; backlog &gt;$66B</t>
  </si>
  <si>
    <t xml:space="preserve">Cerebras Systems</t>
  </si>
  <si>
    <t xml:space="preserve">CBRS</t>
  </si>
  <si>
    <t xml:space="preserve">AI Chips (Wafer-Scale)</t>
  </si>
  <si>
    <t xml:space="preserve">IPO — May 14, 2026</t>
  </si>
  <si>
    <t xml:space="preserve">n/a (pre-IPO financials not in scope)</t>
  </si>
  <si>
    <t xml:space="preserve">n/a</t>
  </si>
  <si>
    <t xml:space="preserve">~$56B fully diluted valuation at IPO close, day 1</t>
  </si>
  <si>
    <t xml:space="preserve">TechStackIPO (May 15, 2026); HashrateIndex (May 15, 2026)</t>
  </si>
  <si>
    <t xml:space="preserve">SK Hynix</t>
  </si>
  <si>
    <t xml:space="preserve">000660.KS</t>
  </si>
  <si>
    <t xml:space="preserve">Memory (HBM)</t>
  </si>
  <si>
    <t xml:space="preserve">~$37.1B (co. estimate, varies by convention)</t>
  </si>
  <si>
    <t xml:space="preserve">n/a in source</t>
  </si>
  <si>
    <t xml:space="preserve">~72% operating margin</t>
  </si>
  <si>
    <t xml:space="preserve">HBM share ~50-62% depending on tracker/period</t>
  </si>
  <si>
    <t xml:space="preserve">Mordor Intelligence (May 6, 2026); BYDFi (Aug. 2026)</t>
  </si>
  <si>
    <t xml:space="preserve">Hyperscaler Capital Expenditure Tracker</t>
  </si>
  <si>
    <t xml:space="preserve">2025 actual/guided vs. 2026 guidance, Big Four hyperscalers plus Oracle. Figures are approximate; company guidance ranges are shown at the midpoint where a range was given.</t>
  </si>
  <si>
    <t xml:space="preserve">2025 Capex ($B)</t>
  </si>
  <si>
    <t xml:space="preserve">2026 Capex Guidance ($B)</t>
  </si>
  <si>
    <t xml:space="preserve">YoY Change</t>
  </si>
  <si>
    <t xml:space="preserve">Notes</t>
  </si>
  <si>
    <t xml:space="preserve">Amazon</t>
  </si>
  <si>
    <t xml:space="preserve">AWS data centers, Trainium chips, power</t>
  </si>
  <si>
    <t xml:space="preserve">Futurum Group (Feb. 12, 2026); ValueAddVC (Aug. 2026)</t>
  </si>
  <si>
    <t xml:space="preserve">Microsoft</t>
  </si>
  <si>
    <t xml:space="preserve">FY26 guidance trajectory ~2x record FY25 level</t>
  </si>
  <si>
    <t xml:space="preserve">NextWavesInsight (Jun. 9, 2026); ValueAddVC (Jun. 23, 2026)</t>
  </si>
  <si>
    <t xml:space="preserve">Alphabet (Google)</t>
  </si>
  <si>
    <t xml:space="preserve">Raised ceiling to $205B at Q2 2026 earnings</t>
  </si>
  <si>
    <t xml:space="preserve">ValueAddVC (Aug. 2026 update)</t>
  </si>
  <si>
    <t xml:space="preserve">Meta</t>
  </si>
  <si>
    <t xml:space="preserve">Raised guidance twice during 2026</t>
  </si>
  <si>
    <t xml:space="preserve">Oracle</t>
  </si>
  <si>
    <t xml:space="preserve">Stargate-linked infrastructure buildout</t>
  </si>
  <si>
    <t xml:space="preserve">Futurum Group (Feb. 12, 2026)</t>
  </si>
  <si>
    <t xml:space="preserve">Total (Big Four)</t>
  </si>
  <si>
    <t xml:space="preserve">Total (Big Four + Oracle)</t>
  </si>
  <si>
    <t xml:space="preserve">Note: 2025 figures are company-reported actuals or final guidance; 2026 figures are guidance as of Q2 2026 earnings calls and are subject to further revision. Ranges shown at midpoint via AVERAGE() formula where sources cited a range rather than a single figure.</t>
  </si>
  <si>
    <t xml:space="preserve">Valuation Comparables — AI Infrastructure Semiconductors</t>
  </si>
  <si>
    <t xml:space="preserve">Approximate multiples compiled from sell-side commentary and financial media, mid-2026. Multiples move continuously with prices and estimate revisions; treat as directional, not current quotes.</t>
  </si>
  <si>
    <t xml:space="preserve">Fwd P/E (approx.)</t>
  </si>
  <si>
    <t xml:space="preserve">Revenue Growth (YoY)</t>
  </si>
  <si>
    <t xml:space="preserve">TSM</t>
  </si>
  <si>
    <t xml:space="preserve">+30% to +41%</t>
  </si>
  <si>
    <t xml:space="preserve">66.2%</t>
  </si>
  <si>
    <t xml:space="preserve">InvestToFire (Jul. 24, 2026); HeyGoTrade (Apr. 10, 2026)</t>
  </si>
  <si>
    <t xml:space="preserve">+65% to +85%</t>
  </si>
  <si>
    <t xml:space="preserve">Intellectia.ai (Jun. 10, 2026); Coinpaper (Aug. 2026)</t>
  </si>
  <si>
    <t xml:space="preserve">+35% to +50%</t>
  </si>
  <si>
    <t xml:space="preserve">~54%</t>
  </si>
  <si>
    <t xml:space="preserve">Intellectia.ai (Aug. 2026); range cited up to 84x elsewhere</t>
  </si>
  <si>
    <t xml:space="preserve">+34% to +42%</t>
  </si>
  <si>
    <t xml:space="preserve">Investing.com (Jul. 24, 2026)</t>
  </si>
  <si>
    <t xml:space="preserve">+29% to +48% (co.); AI seg. +106% to +180%</t>
  </si>
  <si>
    <t xml:space="preserve">76.3%</t>
  </si>
  <si>
    <t xml:space="preserve">HeyGoTrade (Apr. 10, 2026); Investing.com (Jul. 24, 2026)</t>
  </si>
  <si>
    <t xml:space="preserve">Arm Holdings</t>
  </si>
  <si>
    <t xml:space="preserve">ARM</t>
  </si>
  <si>
    <t xml:space="preserve">+22.8%</t>
  </si>
  <si>
    <t xml:space="preserve">97.5%</t>
  </si>
  <si>
    <t xml:space="preserve">IP Licensing</t>
  </si>
  <si>
    <t xml:space="preserve">Note: Forward P/E multiples are illustrative and were reported inconsistently across sources reviewed (e.g., AMD forward P/E ranged from ~28x to ~84x depending on source and date). Not a recommendation to buy or sell any security.</t>
  </si>
  <si>
    <t xml:space="preserve">2026 Global Semiconductor Market Size — Estimates by Source</t>
  </si>
  <si>
    <t xml:space="preserve">Illustrates the wide dispersion in 2026 forecasts depending on methodology and scope (see report Section 2.1 for discussion).</t>
  </si>
  <si>
    <t xml:space="preserve">2026E Market Size ($B)</t>
  </si>
  <si>
    <t xml:space="preserve">YoY Growth Cited</t>
  </si>
  <si>
    <t xml:space="preserve">Scope Notes</t>
  </si>
  <si>
    <t xml:space="preserve">Citation</t>
  </si>
  <si>
    <t xml:space="preserve">BNP Paribas Equity Research</t>
  </si>
  <si>
    <t xml:space="preserve">+18%</t>
  </si>
  <si>
    <t xml:space="preserve">Global semiconductor sales; ASP-driven growth thesis</t>
  </si>
  <si>
    <t xml:space="preserve">BNP Paribas CIB (Apr. 17, 2026)</t>
  </si>
  <si>
    <t xml:space="preserve">Deloitte Insights</t>
  </si>
  <si>
    <t xml:space="preserve">+26%</t>
  </si>
  <si>
    <t xml:space="preserve">Global semiconductor industry annual sales</t>
  </si>
  <si>
    <t xml:space="preserve">Deloitte 2026 Semiconductor Industry Outlook (Feb. 11, 2026)</t>
  </si>
  <si>
    <t xml:space="preserve">IDC</t>
  </si>
  <si>
    <t xml:space="preserve">+52.8%</t>
  </si>
  <si>
    <t xml:space="preserve">Total semiconductor revenue incl. memory/DRAM supercycle</t>
  </si>
  <si>
    <t xml:space="preserve">IDC Semiconductor &amp; Applications Forecast (Apr. 29, 2026)</t>
  </si>
  <si>
    <t xml:space="preserve">Gartner (cited via secondary sources)</t>
  </si>
  <si>
    <t xml:space="preserve">+64%</t>
  </si>
  <si>
    <t xml:space="preserve">Global semiconductor industry revenue</t>
  </si>
  <si>
    <t xml:space="preserve">Intellectia.ai (Jul. 13, 2026); BofA upgraded forecast to $1.3T</t>
  </si>
  <si>
    <t xml:space="preserve">WSTS / SIA</t>
  </si>
  <si>
    <t xml:space="preserve">+90%</t>
  </si>
  <si>
    <t xml:space="preserve">Memory-led surge; DRAM/HBM the primary driver</t>
  </si>
  <si>
    <t xml:space="preserve">WSTS Recent News Release; Electropages (2026)</t>
  </si>
  <si>
    <t xml:space="preserve">Narrower framings (not directly comparable):</t>
  </si>
  <si>
    <t xml:space="preserve">AI Infrastructure Market (Mordor Intelligence)</t>
  </si>
  <si>
    <t xml:space="preserve">n/a (2026 base year)</t>
  </si>
  <si>
    <t xml:space="preserve">Servers, networking, cooling — broader than chips alone; 2031E $202.48B (14.89% CAGR)</t>
  </si>
  <si>
    <t xml:space="preserve">Mordor Intelligence (Aug. 2026)</t>
  </si>
  <si>
    <t xml:space="preserve">AI in Semiconductor Market (SNS Insider)</t>
  </si>
  <si>
    <t xml:space="preserve">n/a (2025: $65.80B)</t>
  </si>
  <si>
    <t xml:space="preserve">14.55% CAGR 2026-2035</t>
  </si>
  <si>
    <t xml:space="preserve">AI-specific semiconductor sub-segment; 2035E $255.90B</t>
  </si>
  <si>
    <t xml:space="preserve">GlobeNewswire/SNS Insider (Aug. 24, 2026)</t>
  </si>
  <si>
    <t xml:space="preserve">Data Center Semiconductors (IDC)</t>
  </si>
  <si>
    <t xml:space="preserve">Subset of total semiconductor revenue; 2030E $843.2B (~half of total market)</t>
  </si>
  <si>
    <t xml:space="preserve">IDC (Apr. 29, 2026)</t>
  </si>
  <si>
    <t xml:space="preserve">Consolidated Source List</t>
  </si>
  <si>
    <t xml:space="preserve">All sources referenced in this report and workbook, compiled via web search. Dates reflect publication date where available.</t>
  </si>
  <si>
    <t xml:space="preserve">#</t>
  </si>
  <si>
    <t xml:space="preserve">Source / Publication</t>
  </si>
  <si>
    <t xml:space="preserve">Topic Covered</t>
  </si>
  <si>
    <t xml:space="preserve">Electropages / SIA 2026 State of the U.S. Semiconductor Industry</t>
  </si>
  <si>
    <t xml:space="preserve">Global semiconductor market size, AI datacenter capex through 2028</t>
  </si>
  <si>
    <t xml:space="preserve">IDC Semiconductor &amp; Semiconductor Applications Forecast (Apr. 2026)</t>
  </si>
  <si>
    <t xml:space="preserve">2026 semiconductor revenue forecast; DRAM/HBM; data center semiconductor revenue</t>
  </si>
  <si>
    <t xml:space="preserve">WSTS Recent News Release</t>
  </si>
  <si>
    <t xml:space="preserve">2026-2027 semiconductor market growth by product category and region</t>
  </si>
  <si>
    <t xml:space="preserve">2026-2027 semiconductor market growth, ASP vs. unit growth thesis</t>
  </si>
  <si>
    <t xml:space="preserve">Deloitte Insights, 2026 Semiconductor Industry Outlook (Feb. 11, 2026)</t>
  </si>
  <si>
    <t xml:space="preserve">2026 semiconductor industry sales outlook</t>
  </si>
  <si>
    <t xml:space="preserve">SNS Insider / GlobeNewswire (Aug. 24, 2026)</t>
  </si>
  <si>
    <t xml:space="preserve">AI-in-semiconductor market sizing 2025-2035</t>
  </si>
  <si>
    <t xml:space="preserve">Mordor Intelligence, AI Infrastructure Market (Aug. 2026)</t>
  </si>
  <si>
    <t xml:space="preserve">AI infrastructure market size and liquid cooling trends</t>
  </si>
  <si>
    <t xml:space="preserve">Intellectia.ai, AI Semiconductor Investment Boom 2026 (Jul. 13, 2026)</t>
  </si>
  <si>
    <t xml:space="preserve">Semiconductor market growth forecasts, hyperscaler spending context</t>
  </si>
  <si>
    <t xml:space="preserve">Introl Blog, Hyperscaler CapEx Hits $600B in 2026 (Jan. 7, 2026)</t>
  </si>
  <si>
    <t xml:space="preserve">Big Five hyperscaler capex 2026 guidance</t>
  </si>
  <si>
    <t xml:space="preserve">Data Center Richness, Hyperscalers Plan $630B in 2026 CapEx (Feb. 9, 2026)</t>
  </si>
  <si>
    <t xml:space="preserve">Company-by-company 2026 capex guidance</t>
  </si>
  <si>
    <t xml:space="preserve">Futurum Group, AI Capex 2026: The $690B Infrastructure Sprint (Feb. 12, 2026)</t>
  </si>
  <si>
    <t xml:space="preserve">2026 hyperscaler capex breakdown by company</t>
  </si>
  <si>
    <t xml:space="preserve">Yahoo Finance / Goldman Sachs capex analysis (Jun. 3, 2026)</t>
  </si>
  <si>
    <t xml:space="preserve">Cumulative hyperscaler capex projections 2025-2031</t>
  </si>
  <si>
    <t xml:space="preserve">ValueAddVC, AI Spending Dashboard (updated Aug. 2026)</t>
  </si>
  <si>
    <t xml:space="preserve">2026 hyperscaler capex by company, updated tracker</t>
  </si>
  <si>
    <t xml:space="preserve">NextWavesInsight, Hyperscaler Capex 2026 (Jun. 9, 2026)</t>
  </si>
  <si>
    <t xml:space="preserve">Power vs. chip spending composition</t>
  </si>
  <si>
    <t xml:space="preserve">NVIDIA Form 8-K filings, FY2026-FY2027 (SEC EDGAR)</t>
  </si>
  <si>
    <t xml:space="preserve">NVIDIA quarterly revenue and data center segment detail</t>
  </si>
  <si>
    <t xml:space="preserve">NVIDIA Newsroom press releases, Q1-Q2 FY2026/FY2027</t>
  </si>
  <si>
    <t xml:space="preserve">NVIDIA quarterly financial results</t>
  </si>
  <si>
    <t xml:space="preserve">Seeking Alpha, NVIDIA Earnings Preview Q2 2027</t>
  </si>
  <si>
    <t xml:space="preserve">NVIDIA Q2 FY27 consensus estimates</t>
  </si>
  <si>
    <t xml:space="preserve">TradingView / Zacks, NVIDIA Q2 Earnings preview</t>
  </si>
  <si>
    <t xml:space="preserve">NVIDIA Q2 FY27 estimates and analyst commentary</t>
  </si>
  <si>
    <t xml:space="preserve">Axis-Intelligence.com, NVIDIA Statistics 2026</t>
  </si>
  <si>
    <t xml:space="preserve">NVIDIA FY2026 full-year revenue detail</t>
  </si>
  <si>
    <t xml:space="preserve">Our World in Data, NVIDIA quarterly revenue by segment</t>
  </si>
  <si>
    <t xml:space="preserve">NVIDIA segment reporting methodology change, Q1 FY27</t>
  </si>
  <si>
    <t xml:space="preserve">AMD Form 10-Q filings, Q1-Q2 2026 (SEC EDGAR)</t>
  </si>
  <si>
    <t xml:space="preserve">AMD data center segment revenue and operating income</t>
  </si>
  <si>
    <t xml:space="preserve">AMD Form 8-K, Q2 2026 (SEC EDGAR)</t>
  </si>
  <si>
    <t xml:space="preserve">AMD Q2 2026 revenue and data center commentary</t>
  </si>
  <si>
    <t xml:space="preserve">Yahoo Finance / AMD Q2 2026 earnings call transcript</t>
  </si>
  <si>
    <t xml:space="preserve">AMD Helios platform, MI400 roadmap commentary</t>
  </si>
  <si>
    <t xml:space="preserve">CNBC, AMD Q1 2026 earnings report (May 6, 2026)</t>
  </si>
  <si>
    <t xml:space="preserve">AMD Q1 2026 results vs. consensus</t>
  </si>
  <si>
    <t xml:space="preserve">Investing.com, AMD Faces Earnings Test (Feb. 3, 2026)</t>
  </si>
  <si>
    <t xml:space="preserve">AMD data center mix and valuation context</t>
  </si>
  <si>
    <t xml:space="preserve">TradingKey, AMD Q1 2026 analysis (May 6, 2026)</t>
  </si>
  <si>
    <t xml:space="preserve">AMD Q1 2026 results and guidance</t>
  </si>
  <si>
    <t xml:space="preserve">SiliconAnalysts.com, AMD vs NVIDIA AI GPU Market Share (Apr. 13, 2026)</t>
  </si>
  <si>
    <t xml:space="preserve">Inference vs. training compute mix shift</t>
  </si>
  <si>
    <t xml:space="preserve">PrimeTrading Substack, Broadcom Q1 2026 earnings deep dive (Mar. 4, 2026)</t>
  </si>
  <si>
    <t xml:space="preserve">Broadcom AI revenue and backlog detail</t>
  </si>
  <si>
    <t xml:space="preserve">Tom's Hardware, Custom AI ASIC state of play (May 21, 2026)</t>
  </si>
  <si>
    <t xml:space="preserve">Custom ASIC market share vs. merchant GPU; Broadcom/Marvell positioning</t>
  </si>
  <si>
    <t xml:space="preserve">TIKR Blog, Broadcom AI Chip Revenue (Apr. 30, 2026)</t>
  </si>
  <si>
    <t xml:space="preserve">Broadcom AI backlog and target commentary</t>
  </si>
  <si>
    <t xml:space="preserve">Tech Insider, Broadcom AI Revenue Surges (Mar. 24 &amp; Jun. 4/10, 2026)</t>
  </si>
  <si>
    <t xml:space="preserve">Broadcom quarterly AI revenue detail across Q1/Q2 FY26</t>
  </si>
  <si>
    <t xml:space="preserve">Oplexa.com, Broadcom AI Revenue 2026 (May 16, 2026)</t>
  </si>
  <si>
    <t xml:space="preserve">Broadcom customer diversification, backlog detail</t>
  </si>
  <si>
    <t xml:space="preserve">SimianX, Broadcom Earnings 2026 preview (Jun. 2, 2026)</t>
  </si>
  <si>
    <t xml:space="preserve">Broadcom AI ASIC backlog framework</t>
  </si>
  <si>
    <t xml:space="preserve">IndMoney, TSMC CoWoS Hidden Bottleneck (Jun. 17, 2026)</t>
  </si>
  <si>
    <t xml:space="preserve">TSMC CoWoS allocation by customer, capex guidance</t>
  </si>
  <si>
    <t xml:space="preserve">South China Morning Post, TSMC targets 30%+ revenue surge (Apr. 16, 2026)</t>
  </si>
  <si>
    <t xml:space="preserve">TSMC 2026 revenue and capex guidance</t>
  </si>
  <si>
    <t xml:space="preserve">Longyield Substack, TSMC Q3 AI boom analysis (Dec. 18, 2025)</t>
  </si>
  <si>
    <t xml:space="preserve">TSMC CoWoS capacity ramp trajectory</t>
  </si>
  <si>
    <t xml:space="preserve">AtlasPCB, TSMC CoPoS/CoWoS capacity (May 10, 2026)</t>
  </si>
  <si>
    <t xml:space="preserve">TSMC CoWoS wafer/month capacity targets</t>
  </si>
  <si>
    <t xml:space="preserve">TechTimes, TSMC Lifts Arizona to $265B (Jul. 18, 2026)</t>
  </si>
  <si>
    <t xml:space="preserve">TSMC revised 2026 capex guidance</t>
  </si>
  <si>
    <t xml:space="preserve">TechTimes, TSMC Q2 Earnings preview (Jul. 11, 2026)</t>
  </si>
  <si>
    <t xml:space="preserve">TSMC Q2 2026 earnings preview, CoWoS signals</t>
  </si>
  <si>
    <t xml:space="preserve">Forbes, TSMC Q2 test of AI buildout ceiling (Jul. 9, 2026)</t>
  </si>
  <si>
    <t xml:space="preserve">TSMC CoWoS bottleneck and capex context</t>
  </si>
  <si>
    <t xml:space="preserve">DataCenterDynamics, Samsung/SK Hynix scale HBM (2026)</t>
  </si>
  <si>
    <t xml:space="preserve">HBM market share Q3 2025, Micron consumer exit</t>
  </si>
  <si>
    <t xml:space="preserve">Astute Group, SK Hynix HBM share (Sep. 2025)</t>
  </si>
  <si>
    <t xml:space="preserve">HBM market share by quarter</t>
  </si>
  <si>
    <t xml:space="preserve">Counterpoint Research, DRAM and HBM Market Share (Jun. 9, 2026)</t>
  </si>
  <si>
    <t xml:space="preserve">Q1 2026 DRAM/HBM market share by company</t>
  </si>
  <si>
    <t xml:space="preserve">Introl Blog, AI Memory Supercycle (Jan. 3, 2026)</t>
  </si>
  <si>
    <t xml:space="preserve">HBM TAM growth and NVIDIA supply concentration</t>
  </si>
  <si>
    <t xml:space="preserve">SiliconAnalysts.com, HBM Pricing &amp; Market Share (Aug. 2026)</t>
  </si>
  <si>
    <t xml:space="preserve">HBM pricing trends and generational specs</t>
  </si>
  <si>
    <t xml:space="preserve">Presenc.ai, HBM Market Share 2026 (May 19, 2026)</t>
  </si>
  <si>
    <t xml:space="preserve">HBM4 allocation by supplier</t>
  </si>
  <si>
    <t xml:space="preserve">Mordor Intelligence, High Bandwidth Memory Market (May 6, 2026)</t>
  </si>
  <si>
    <t xml:space="preserve">HBM regional dynamics and subsidy programs</t>
  </si>
  <si>
    <t xml:space="preserve">BYDFi, SK Hynix HBM share 56.4% (Aug. 2026)</t>
  </si>
  <si>
    <t xml:space="preserve">Q1 2026 HBM revenue share, SK Hynix valuation context</t>
  </si>
  <si>
    <t xml:space="preserve">SK Hynix Newsroom, 2026 Market Outlook (Apr. 24, 2026)</t>
  </si>
  <si>
    <t xml:space="preserve">SK Hynix HBM4 share projections</t>
  </si>
  <si>
    <t xml:space="preserve">HashrateIndex, Independent AI Chip Companies 2026 (May 15, 2026)</t>
  </si>
  <si>
    <t xml:space="preserve">Cerebras IPO, Groq/NVIDIA transaction, Etched positioning</t>
  </si>
  <si>
    <t xml:space="preserve">TechStackIPO, AI Infrastructure Pre-IPO Stack (May 15, 2026)</t>
  </si>
  <si>
    <t xml:space="preserve">Private AI infrastructure company valuations</t>
  </si>
  <si>
    <t xml:space="preserve">ArtificialIntelligenceCompanies.com, Best AI Infrastructure Companies 2026</t>
  </si>
  <si>
    <t xml:space="preserve">Value chain mapping of AI infra companies</t>
  </si>
  <si>
    <t xml:space="preserve">New Market Pitch, AI Infrastructure funding deals 2024-2026 (Jul. 13, 2026)</t>
  </si>
  <si>
    <t xml:space="preserve">Private AI infrastructure funding rounds</t>
  </si>
  <si>
    <t xml:space="preserve">New Market Pitch, AI Chip Market Funding News (Aug. 2026)</t>
  </si>
  <si>
    <t xml:space="preserve">Private AI chip company valuations</t>
  </si>
  <si>
    <t xml:space="preserve">New Market Pitch, Top AI Infrastructure Startups by Fundraising</t>
  </si>
  <si>
    <t xml:space="preserve">CoreWeave, Nscale, Crusoe, Lambda funding detail</t>
  </si>
  <si>
    <t xml:space="preserve">ValueAddVC, 43 Private AI Chip Startups Mapped (Jun. 30, 2026)</t>
  </si>
  <si>
    <t xml:space="preserve">Comprehensive private AI chip startup funding map</t>
  </si>
  <si>
    <t xml:space="preserve">MarketScreener, CoreWeave IPO coverage</t>
  </si>
  <si>
    <t xml:space="preserve">CoreWeave IPO valuation context</t>
  </si>
  <si>
    <t xml:space="preserve">Motley Fool, Real Money in AI in Power Cooling (Jan. 2, 2026)</t>
  </si>
  <si>
    <t xml:space="preserve">Vertiv and Arista revenue/margin growth</t>
  </si>
  <si>
    <t xml:space="preserve">Simply Wall St / Yahoo Finance, Vertiv Q1 2026 results (Apr.-Jun. 2026)</t>
  </si>
  <si>
    <t xml:space="preserve">Vertiv revenue, backlog, and guidance detail</t>
  </si>
  <si>
    <t xml:space="preserve">HeyGoTrade, Vertiv Stock analysis (May 12, 2026)</t>
  </si>
  <si>
    <t xml:space="preserve">Vertiv business model and competitive position</t>
  </si>
  <si>
    <t xml:space="preserve">Motley Fool, Vertiv $15B backlog (Mar. 9, 2026)</t>
  </si>
  <si>
    <t xml:space="preserve">Vertiv order backlog and book-to-bill ratio</t>
  </si>
  <si>
    <t xml:space="preserve">Seeking Alpha, Vertiv Q1 2026 earnings (Jun. 1, 2026)</t>
  </si>
  <si>
    <t xml:space="preserve">Vertiv Q1 2026 results detail</t>
  </si>
  <si>
    <t xml:space="preserve">Exoswan, Top AI Infrastructure Stocks 2026 (Apr. 6, 2026)</t>
  </si>
  <si>
    <t xml:space="preserve">Arista, CoreWeave, Modine competitive positioning</t>
  </si>
  <si>
    <t xml:space="preserve">CFR, New AI Chip Export Policy to China (Jan. 14, 2026)</t>
  </si>
  <si>
    <t xml:space="preserve">January 2026 export control rule change</t>
  </si>
  <si>
    <t xml:space="preserve">Al Jazeera, US chip shipment ban clarification (Jun. 1, 2026)</t>
  </si>
  <si>
    <t xml:space="preserve">Export control enforcement on offshore Chinese subsidiaries</t>
  </si>
  <si>
    <t xml:space="preserve">NVIDIA Form ARS/10-Q, FY2026 (SEC EDGAR)</t>
  </si>
  <si>
    <t xml:space="preserve">NVIDIA export control risk factor disclosures</t>
  </si>
  <si>
    <t xml:space="preserve">Built In, Trump Lifts AI Chip Ban on China (2026)</t>
  </si>
  <si>
    <t xml:space="preserve">History of 2022-2026 export control policy changes</t>
  </si>
  <si>
    <t xml:space="preserve">CNBC, US halts Nvidia AI chip shipments to Chinese firms (May 31, 2026)</t>
  </si>
  <si>
    <t xml:space="preserve">Mid-2026 export control loophole closure</t>
  </si>
  <si>
    <t xml:space="preserve">SemiconductorsInsight.com, US-China Chip Export Controls H200 (Apr. 29, 2026)</t>
  </si>
  <si>
    <t xml:space="preserve">January 2026 tariff and licensing rule detail</t>
  </si>
  <si>
    <t xml:space="preserve">GPUSmith, NVIDIA GPU Export Restrictions (Jul. 22, 2026)</t>
  </si>
  <si>
    <t xml:space="preserve">Comprehensive export control timeline and revenue impact</t>
  </si>
  <si>
    <t xml:space="preserve">CNBC, Jim Cramer AI circular financing warning (Jul. 27, 2026)</t>
  </si>
  <si>
    <t xml:space="preserve">Circular financing bubble comparison commentary</t>
  </si>
  <si>
    <t xml:space="preserve">Bloomberg/Yahoo Finance, Nvidia's $750B deals (Aug. 2026)</t>
  </si>
  <si>
    <t xml:space="preserve">NVIDIA-OpenAI, NVIDIA-SK Group financing arrangements</t>
  </si>
  <si>
    <t xml:space="preserve">AI-circular-economy.com, Bubble Index tracker</t>
  </si>
  <si>
    <t xml:space="preserve">Circular financing deal tracker and bubble scoring</t>
  </si>
  <si>
    <t xml:space="preserve">SeedScope, AI Bubble Question (2026)</t>
  </si>
  <si>
    <t xml:space="preserve">OpenAI loss projections, circular financing revenue math</t>
  </si>
  <si>
    <t xml:space="preserve">Alatirok.com, AI Circular Financing explainer (May 31, 2026)</t>
  </si>
  <si>
    <t xml:space="preserve">Circular financing mechanics and historical parallels</t>
  </si>
  <si>
    <t xml:space="preserve">TradingKey, Nvidia SK Group deal circular financing debate (Aug. 2026)</t>
  </si>
  <si>
    <t xml:space="preserve">Market reaction to circular financing concerns</t>
  </si>
  <si>
    <t xml:space="preserve">Business Standard, Nvidia-OpenAI deal sparks concerns (2025)</t>
  </si>
  <si>
    <t xml:space="preserve">Original NVIDIA-OpenAI investment announcement</t>
  </si>
  <si>
    <t xml:space="preserve">Synopsys press releases/investor site, Ansys acquisition completion (Jul. 17, 2025)</t>
  </si>
  <si>
    <t xml:space="preserve">Synopsys-Ansys $35B merger completion detail</t>
  </si>
  <si>
    <t xml:space="preserve">Futurum Group, Synopsys wraps up Ansys acquisition (Aug. 2025)</t>
  </si>
  <si>
    <t xml:space="preserve">Combined TAM and integration roadmap</t>
  </si>
  <si>
    <t xml:space="preserve">Embedded Computing Design, Semiconductor M&amp;A 2026 (2026)</t>
  </si>
  <si>
    <t xml:space="preserve">GlobalFoundries-Synopsys ARC IP acquisition</t>
  </si>
  <si>
    <t xml:space="preserve">TheNextWeb, Intel stock record on Apple foundry talks (May 5, 2026)</t>
  </si>
  <si>
    <t xml:space="preserve">Intel government stake, Apple foundry discussions</t>
  </si>
  <si>
    <t xml:space="preserve">Intel Form DEF 14A, FY2026 (SEC EDGAR)</t>
  </si>
  <si>
    <t xml:space="preserve">Intel 18A process technology strategy disclosure</t>
  </si>
  <si>
    <t xml:space="preserve">InvestingCube, Intel Stock Outlook (Aug. 2026)</t>
  </si>
  <si>
    <t xml:space="preserve">Intel 18A and AI ambitions context</t>
  </si>
  <si>
    <t xml:space="preserve">Phemex Academy, Intel Stock 2026 (Mar. 3, 2026)</t>
  </si>
  <si>
    <t xml:space="preserve">Intel Q4 2025 results, government/SoftBank investment</t>
  </si>
  <si>
    <t xml:space="preserve">Forbes, Intel Foundry 2026 Inflection Point (Jan. 9, 2026)</t>
  </si>
  <si>
    <t xml:space="preserve">Intel 18A yield and customer acquisition risk</t>
  </si>
  <si>
    <t xml:space="preserve">Edgen.tech, Intel Stock Analysis Foundry Turnaround (Apr. 20, 2026)</t>
  </si>
  <si>
    <t xml:space="preserve">Intel IDM 2.0 strategy detail</t>
  </si>
  <si>
    <t xml:space="preserve">Archyde, Intel IFS Foundry Leasing strategy (May 31, 2026)</t>
  </si>
  <si>
    <t xml:space="preserve">Intel 18A third-party leasing strategy</t>
  </si>
  <si>
    <t xml:space="preserve">Astreka, Intel Strategic Position Early 2026</t>
  </si>
  <si>
    <t xml:space="preserve">Intel government stake and SoftBank/Arm ecosystem ties</t>
  </si>
  <si>
    <t xml:space="preserve">TheNextWeb, Google in talks with Marvell (Apr. 19, 2026)</t>
  </si>
  <si>
    <t xml:space="preserve">Marvell data center revenue and hyperscaler design wins</t>
  </si>
  <si>
    <t xml:space="preserve">Yahoo Finance, Marvell AI custom silicon investment case (Jan. 6, 2026)</t>
  </si>
  <si>
    <t xml:space="preserve">Marvell custom silicon backlog and customer detail</t>
  </si>
  <si>
    <t xml:space="preserve">BingX Academy, Marvell 2026 Outlook (Mar. 20, 2026)</t>
  </si>
  <si>
    <t xml:space="preserve">Marvell custom ASIC program status by hyperscaler</t>
  </si>
  <si>
    <t xml:space="preserve">Tech Insider, Marvell Technology Stock Surge (Jun. 4, 2026)</t>
  </si>
  <si>
    <t xml:space="preserve">Marvell custom silicon revenue projections</t>
  </si>
  <si>
    <t xml:space="preserve">Phemex Academy, Marvell vs Broadcom (Jul. 1, 2026)</t>
  </si>
  <si>
    <t xml:space="preserve">Marvell and Broadcom comparative positioning</t>
  </si>
  <si>
    <t xml:space="preserve">Money Morning, Marvell earnings preview (May 27, 2026)</t>
  </si>
  <si>
    <t xml:space="preserve">Marvell custom chip revenue detail, hyperscaler partnerships</t>
  </si>
  <si>
    <t xml:space="preserve">TechTimes, Marvell Interconnect outpacing Custom Silicon (Aug. 17, 2026)</t>
  </si>
  <si>
    <t xml:space="preserve">Marvell FY2027 segment growth guidance</t>
  </si>
  <si>
    <t xml:space="preserve">FirstPassLab, Marvell $15B revenue forecast (Mar. 17, 2026)</t>
  </si>
  <si>
    <t xml:space="preserve">Marvell FY2028 revenue projection</t>
  </si>
  <si>
    <t xml:space="preserve">Council on Foreign Relations, Investing.com, HeyGoTrade, InvestToFire, Intellectia.ai, Coinpaper — valuation multiples (various, Apr.-Aug. 2026)</t>
  </si>
  <si>
    <t xml:space="preserve">Forward P/E and valuation comparisons across covered names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</si>
</sst>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7" min="6" style="0" width="16"/>
    <col collapsed="false" customWidth="true" hidden="false" outlineLevel="0" max="9" min="8" style="0" width="3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42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42" hidden="false" customHeight="true" outlineLevel="0" collapsed="false">
      <c r="A6" s="5" t="s">
        <v>11</v>
      </c>
      <c r="B6" s="5" t="s">
        <v>12</v>
      </c>
      <c r="C6" s="5" t="s">
        <v>13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</row>
    <row r="7" customFormat="false" ht="42" hidden="false" customHeight="true" outlineLevel="0" collapsed="false">
      <c r="A7" s="4" t="s">
        <v>26</v>
      </c>
      <c r="B7" s="4" t="s">
        <v>26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32</v>
      </c>
      <c r="I7" s="4" t="s">
        <v>33</v>
      </c>
    </row>
    <row r="8" customFormat="false" ht="42" hidden="false" customHeight="true" outlineLevel="0" collapsed="false">
      <c r="A8" s="5" t="s">
        <v>26</v>
      </c>
      <c r="B8" s="5" t="s">
        <v>26</v>
      </c>
      <c r="C8" s="5" t="s">
        <v>27</v>
      </c>
      <c r="D8" s="5" t="s">
        <v>34</v>
      </c>
      <c r="E8" s="5" t="s">
        <v>35</v>
      </c>
      <c r="F8" s="5" t="s">
        <v>36</v>
      </c>
      <c r="G8" s="5" t="s">
        <v>31</v>
      </c>
      <c r="H8" s="5" t="s">
        <v>37</v>
      </c>
      <c r="I8" s="5" t="s">
        <v>38</v>
      </c>
    </row>
    <row r="9" customFormat="false" ht="42" hidden="false" customHeight="true" outlineLevel="0" collapsed="false">
      <c r="A9" s="4" t="s">
        <v>39</v>
      </c>
      <c r="B9" s="4" t="s">
        <v>40</v>
      </c>
      <c r="C9" s="4" t="s">
        <v>41</v>
      </c>
      <c r="D9" s="4" t="s">
        <v>42</v>
      </c>
      <c r="E9" s="4" t="s">
        <v>43</v>
      </c>
      <c r="F9" s="4" t="s">
        <v>44</v>
      </c>
      <c r="G9" s="4" t="s">
        <v>31</v>
      </c>
      <c r="H9" s="4" t="s">
        <v>45</v>
      </c>
      <c r="I9" s="4" t="s">
        <v>46</v>
      </c>
    </row>
    <row r="10" customFormat="false" ht="42" hidden="false" customHeight="true" outlineLevel="0" collapsed="false">
      <c r="A10" s="5" t="s">
        <v>39</v>
      </c>
      <c r="B10" s="5" t="s">
        <v>40</v>
      </c>
      <c r="C10" s="5" t="s">
        <v>41</v>
      </c>
      <c r="D10" s="5" t="s">
        <v>47</v>
      </c>
      <c r="E10" s="5" t="s">
        <v>48</v>
      </c>
      <c r="F10" s="5" t="s">
        <v>49</v>
      </c>
      <c r="G10" s="5" t="s">
        <v>31</v>
      </c>
      <c r="H10" s="5" t="s">
        <v>50</v>
      </c>
      <c r="I10" s="5" t="s">
        <v>51</v>
      </c>
    </row>
    <row r="11" customFormat="false" ht="42" hidden="false" customHeight="true" outlineLevel="0" collapsed="false">
      <c r="A11" s="4" t="s">
        <v>52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31</v>
      </c>
      <c r="H11" s="4" t="s">
        <v>58</v>
      </c>
      <c r="I11" s="4" t="s">
        <v>59</v>
      </c>
    </row>
    <row r="12" customFormat="false" ht="42" hidden="false" customHeight="true" outlineLevel="0" collapsed="false">
      <c r="A12" s="5" t="s">
        <v>60</v>
      </c>
      <c r="B12" s="5" t="s">
        <v>61</v>
      </c>
      <c r="C12" s="5" t="s">
        <v>62</v>
      </c>
      <c r="D12" s="5" t="s">
        <v>34</v>
      </c>
      <c r="E12" s="5" t="s">
        <v>63</v>
      </c>
      <c r="F12" s="5" t="s">
        <v>64</v>
      </c>
      <c r="G12" s="5" t="s">
        <v>65</v>
      </c>
      <c r="H12" s="5" t="s">
        <v>66</v>
      </c>
      <c r="I12" s="5" t="s">
        <v>67</v>
      </c>
    </row>
    <row r="13" customFormat="false" ht="42" hidden="false" customHeight="true" outlineLevel="0" collapsed="false">
      <c r="A13" s="4" t="s">
        <v>68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74</v>
      </c>
      <c r="H13" s="4" t="s">
        <v>75</v>
      </c>
      <c r="I13" s="4" t="s">
        <v>76</v>
      </c>
    </row>
    <row r="14" customFormat="false" ht="42" hidden="false" customHeight="true" outlineLevel="0" collapsed="false">
      <c r="A14" s="5" t="s">
        <v>77</v>
      </c>
      <c r="B14" s="5" t="s">
        <v>78</v>
      </c>
      <c r="C14" s="5" t="s">
        <v>79</v>
      </c>
      <c r="D14" s="5" t="s">
        <v>34</v>
      </c>
      <c r="E14" s="5" t="s">
        <v>80</v>
      </c>
      <c r="F14" s="5" t="s">
        <v>81</v>
      </c>
      <c r="G14" s="5" t="s">
        <v>31</v>
      </c>
      <c r="H14" s="5" t="s">
        <v>82</v>
      </c>
      <c r="I14" s="5" t="s">
        <v>83</v>
      </c>
    </row>
    <row r="15" customFormat="false" ht="42" hidden="false" customHeight="true" outlineLevel="0" collapsed="false">
      <c r="A15" s="4" t="s">
        <v>84</v>
      </c>
      <c r="B15" s="4" t="s">
        <v>85</v>
      </c>
      <c r="C15" s="4" t="s">
        <v>86</v>
      </c>
      <c r="D15" s="4" t="s">
        <v>87</v>
      </c>
      <c r="E15" s="4" t="s">
        <v>88</v>
      </c>
      <c r="F15" s="4" t="s">
        <v>89</v>
      </c>
      <c r="G15" s="4" t="s">
        <v>31</v>
      </c>
      <c r="H15" s="4" t="s">
        <v>90</v>
      </c>
      <c r="I15" s="4" t="s">
        <v>91</v>
      </c>
    </row>
    <row r="16" customFormat="false" ht="42" hidden="false" customHeight="true" outlineLevel="0" collapsed="false">
      <c r="A16" s="5" t="s">
        <v>92</v>
      </c>
      <c r="B16" s="5" t="s">
        <v>93</v>
      </c>
      <c r="C16" s="5" t="s">
        <v>94</v>
      </c>
      <c r="D16" s="5" t="s">
        <v>87</v>
      </c>
      <c r="E16" s="5" t="s">
        <v>95</v>
      </c>
      <c r="F16" s="5" t="s">
        <v>96</v>
      </c>
      <c r="G16" s="5" t="s">
        <v>31</v>
      </c>
      <c r="H16" s="5" t="s">
        <v>97</v>
      </c>
      <c r="I16" s="5" t="s">
        <v>91</v>
      </c>
    </row>
    <row r="17" customFormat="false" ht="42" hidden="false" customHeight="true" outlineLevel="0" collapsed="false">
      <c r="A17" s="4" t="s">
        <v>98</v>
      </c>
      <c r="B17" s="4" t="s">
        <v>99</v>
      </c>
      <c r="C17" s="4" t="s">
        <v>100</v>
      </c>
      <c r="D17" s="4" t="s">
        <v>101</v>
      </c>
      <c r="E17" s="4" t="s">
        <v>102</v>
      </c>
      <c r="F17" s="4" t="s">
        <v>103</v>
      </c>
      <c r="G17" s="4" t="s">
        <v>103</v>
      </c>
      <c r="H17" s="4" t="s">
        <v>104</v>
      </c>
      <c r="I17" s="4" t="s">
        <v>105</v>
      </c>
    </row>
    <row r="18" customFormat="false" ht="42" hidden="false" customHeight="true" outlineLevel="0" collapsed="false">
      <c r="A18" s="5" t="s">
        <v>106</v>
      </c>
      <c r="B18" s="5" t="s">
        <v>107</v>
      </c>
      <c r="C18" s="5" t="s">
        <v>108</v>
      </c>
      <c r="D18" s="5" t="s">
        <v>34</v>
      </c>
      <c r="E18" s="5" t="s">
        <v>109</v>
      </c>
      <c r="F18" s="5" t="s">
        <v>110</v>
      </c>
      <c r="G18" s="5" t="s">
        <v>111</v>
      </c>
      <c r="H18" s="5" t="s">
        <v>112</v>
      </c>
      <c r="I18" s="5" t="s">
        <v>113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34"/>
  </cols>
  <sheetData>
    <row r="1" customFormat="false" ht="21.75" hidden="false" customHeight="true" outlineLevel="0" collapsed="false">
      <c r="A1" s="1" t="s">
        <v>114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115</v>
      </c>
      <c r="B2" s="2"/>
      <c r="C2" s="2"/>
      <c r="D2" s="2"/>
      <c r="E2" s="2"/>
      <c r="F2" s="2"/>
    </row>
    <row r="4" customFormat="false" ht="23.85" hidden="false" customHeight="false" outlineLevel="0" collapsed="false">
      <c r="A4" s="3" t="s">
        <v>2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10</v>
      </c>
    </row>
    <row r="5" customFormat="false" ht="27.75" hidden="false" customHeight="true" outlineLevel="0" collapsed="false">
      <c r="A5" s="4" t="s">
        <v>120</v>
      </c>
      <c r="B5" s="6" t="n">
        <v>125</v>
      </c>
      <c r="C5" s="6" t="n">
        <v>200</v>
      </c>
      <c r="D5" s="7" t="n">
        <f aca="false">C5/B5-1</f>
        <v>0.6</v>
      </c>
      <c r="E5" s="4" t="s">
        <v>121</v>
      </c>
      <c r="F5" s="4" t="s">
        <v>122</v>
      </c>
    </row>
    <row r="6" customFormat="false" ht="27.75" hidden="false" customHeight="true" outlineLevel="0" collapsed="false">
      <c r="A6" s="5" t="s">
        <v>123</v>
      </c>
      <c r="B6" s="8" t="n">
        <v>90</v>
      </c>
      <c r="C6" s="8" t="n">
        <f aca="false">AVERAGE(190,190)</f>
        <v>190</v>
      </c>
      <c r="D6" s="9" t="n">
        <f aca="false">C6/B6-1</f>
        <v>1.11111111111111</v>
      </c>
      <c r="E6" s="5" t="s">
        <v>124</v>
      </c>
      <c r="F6" s="5" t="s">
        <v>125</v>
      </c>
    </row>
    <row r="7" customFormat="false" ht="27.75" hidden="false" customHeight="true" outlineLevel="0" collapsed="false">
      <c r="A7" s="4" t="s">
        <v>126</v>
      </c>
      <c r="B7" s="6" t="n">
        <v>91</v>
      </c>
      <c r="C7" s="6" t="n">
        <f aca="false">AVERAGE(175,205)</f>
        <v>190</v>
      </c>
      <c r="D7" s="7" t="n">
        <f aca="false">C7/B7-1</f>
        <v>1.08791208791209</v>
      </c>
      <c r="E7" s="4" t="s">
        <v>127</v>
      </c>
      <c r="F7" s="4" t="s">
        <v>128</v>
      </c>
    </row>
    <row r="8" customFormat="false" ht="27.75" hidden="false" customHeight="true" outlineLevel="0" collapsed="false">
      <c r="A8" s="5" t="s">
        <v>129</v>
      </c>
      <c r="B8" s="8" t="n">
        <v>72</v>
      </c>
      <c r="C8" s="8" t="n">
        <f aca="false">AVERAGE(115,145)</f>
        <v>130</v>
      </c>
      <c r="D8" s="9" t="n">
        <f aca="false">C8/B8-1</f>
        <v>0.805555555555556</v>
      </c>
      <c r="E8" s="5" t="s">
        <v>130</v>
      </c>
      <c r="F8" s="5" t="s">
        <v>122</v>
      </c>
    </row>
    <row r="9" customFormat="false" ht="27.75" hidden="false" customHeight="true" outlineLevel="0" collapsed="false">
      <c r="A9" s="4" t="s">
        <v>131</v>
      </c>
      <c r="B9" s="6" t="n">
        <v>30</v>
      </c>
      <c r="C9" s="6" t="n">
        <v>50</v>
      </c>
      <c r="D9" s="7" t="n">
        <f aca="false">C9/B9-1</f>
        <v>0.666666666666667</v>
      </c>
      <c r="E9" s="4" t="s">
        <v>132</v>
      </c>
      <c r="F9" s="4" t="s">
        <v>133</v>
      </c>
    </row>
    <row r="10" customFormat="false" ht="27.75" hidden="false" customHeight="true" outlineLevel="0" collapsed="false">
      <c r="A10" s="10" t="s">
        <v>134</v>
      </c>
      <c r="B10" s="11" t="n">
        <f aca="false">SUM(B5:B8)</f>
        <v>378</v>
      </c>
      <c r="C10" s="11" t="n">
        <f aca="false">SUM(C5:C8)</f>
        <v>710</v>
      </c>
      <c r="D10" s="12" t="n">
        <f aca="false">C10/B10-1</f>
        <v>0.878306878306878</v>
      </c>
    </row>
    <row r="11" customFormat="false" ht="27.75" hidden="false" customHeight="true" outlineLevel="0" collapsed="false">
      <c r="A11" s="10" t="s">
        <v>135</v>
      </c>
      <c r="B11" s="11" t="n">
        <f aca="false">SUM(B5:B9)</f>
        <v>408</v>
      </c>
      <c r="C11" s="11" t="n">
        <f aca="false">SUM(C5:C9)</f>
        <v>760</v>
      </c>
      <c r="D11" s="12" t="n">
        <f aca="false">C11/B11-1</f>
        <v>0.862745098039216</v>
      </c>
    </row>
    <row r="13" customFormat="false" ht="30" hidden="false" customHeight="true" outlineLevel="0" collapsed="false">
      <c r="A13" s="13" t="s">
        <v>136</v>
      </c>
      <c r="B13" s="13"/>
      <c r="C13" s="13"/>
      <c r="D13" s="13"/>
      <c r="E13" s="13"/>
      <c r="F13" s="13"/>
    </row>
  </sheetData>
  <mergeCells count="3">
    <mergeCell ref="A1:F1"/>
    <mergeCell ref="A2:F2"/>
    <mergeCell ref="A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40"/>
  </cols>
  <sheetData>
    <row r="1" customFormat="false" ht="21.75" hidden="false" customHeight="true" outlineLevel="0" collapsed="false">
      <c r="A1" s="1" t="s">
        <v>137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138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139</v>
      </c>
      <c r="D4" s="3" t="s">
        <v>140</v>
      </c>
      <c r="E4" s="3" t="s">
        <v>8</v>
      </c>
      <c r="F4" s="3" t="s">
        <v>4</v>
      </c>
      <c r="G4" s="3" t="s">
        <v>10</v>
      </c>
    </row>
    <row r="5" customFormat="false" ht="30" hidden="false" customHeight="true" outlineLevel="0" collapsed="false">
      <c r="A5" s="4" t="s">
        <v>60</v>
      </c>
      <c r="B5" s="4" t="s">
        <v>141</v>
      </c>
      <c r="C5" s="14" t="n">
        <v>24</v>
      </c>
      <c r="D5" s="4" t="s">
        <v>142</v>
      </c>
      <c r="E5" s="4" t="s">
        <v>143</v>
      </c>
      <c r="F5" s="4" t="s">
        <v>62</v>
      </c>
      <c r="G5" s="4" t="s">
        <v>144</v>
      </c>
    </row>
    <row r="6" customFormat="false" ht="30" hidden="false" customHeight="true" outlineLevel="0" collapsed="false">
      <c r="A6" s="5" t="s">
        <v>11</v>
      </c>
      <c r="B6" s="5" t="s">
        <v>12</v>
      </c>
      <c r="C6" s="15" t="n">
        <v>25</v>
      </c>
      <c r="D6" s="5" t="s">
        <v>145</v>
      </c>
      <c r="E6" s="5" t="s">
        <v>23</v>
      </c>
      <c r="F6" s="5" t="s">
        <v>13</v>
      </c>
      <c r="G6" s="5" t="s">
        <v>146</v>
      </c>
    </row>
    <row r="7" customFormat="false" ht="30" hidden="false" customHeight="true" outlineLevel="0" collapsed="false">
      <c r="A7" s="4" t="s">
        <v>26</v>
      </c>
      <c r="B7" s="4" t="s">
        <v>26</v>
      </c>
      <c r="C7" s="14" t="n">
        <v>28</v>
      </c>
      <c r="D7" s="4" t="s">
        <v>147</v>
      </c>
      <c r="E7" s="4" t="s">
        <v>148</v>
      </c>
      <c r="F7" s="4" t="s">
        <v>27</v>
      </c>
      <c r="G7" s="4" t="s">
        <v>149</v>
      </c>
    </row>
    <row r="8" customFormat="false" ht="30" hidden="false" customHeight="true" outlineLevel="0" collapsed="false">
      <c r="A8" s="5" t="s">
        <v>52</v>
      </c>
      <c r="B8" s="5" t="s">
        <v>53</v>
      </c>
      <c r="C8" s="15" t="n">
        <v>50</v>
      </c>
      <c r="D8" s="5" t="s">
        <v>150</v>
      </c>
      <c r="E8" s="5" t="s">
        <v>31</v>
      </c>
      <c r="F8" s="5" t="s">
        <v>54</v>
      </c>
      <c r="G8" s="5" t="s">
        <v>151</v>
      </c>
    </row>
    <row r="9" customFormat="false" ht="30" hidden="false" customHeight="true" outlineLevel="0" collapsed="false">
      <c r="A9" s="4" t="s">
        <v>39</v>
      </c>
      <c r="B9" s="4" t="s">
        <v>40</v>
      </c>
      <c r="C9" s="14" t="n">
        <v>41</v>
      </c>
      <c r="D9" s="4" t="s">
        <v>152</v>
      </c>
      <c r="E9" s="4" t="s">
        <v>153</v>
      </c>
      <c r="F9" s="4" t="s">
        <v>41</v>
      </c>
      <c r="G9" s="4" t="s">
        <v>154</v>
      </c>
    </row>
    <row r="10" customFormat="false" ht="30" hidden="false" customHeight="true" outlineLevel="0" collapsed="false">
      <c r="A10" s="5" t="s">
        <v>155</v>
      </c>
      <c r="B10" s="5" t="s">
        <v>156</v>
      </c>
      <c r="C10" s="15" t="n">
        <v>130</v>
      </c>
      <c r="D10" s="5" t="s">
        <v>157</v>
      </c>
      <c r="E10" s="5" t="s">
        <v>158</v>
      </c>
      <c r="F10" s="5" t="s">
        <v>159</v>
      </c>
      <c r="G10" s="5" t="s">
        <v>151</v>
      </c>
    </row>
    <row r="12" customFormat="false" ht="30" hidden="false" customHeight="true" outlineLevel="0" collapsed="false">
      <c r="A12" s="13" t="s">
        <v>160</v>
      </c>
      <c r="B12" s="13"/>
      <c r="C12" s="13"/>
      <c r="D12" s="13"/>
      <c r="E12" s="13"/>
      <c r="F12" s="13"/>
      <c r="G12" s="13"/>
    </row>
  </sheetData>
  <mergeCells count="3">
    <mergeCell ref="A1:G1"/>
    <mergeCell ref="A2:G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34"/>
  </cols>
  <sheetData>
    <row r="1" customFormat="false" ht="21.75" hidden="false" customHeight="true" outlineLevel="0" collapsed="false">
      <c r="A1" s="1" t="s">
        <v>161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162</v>
      </c>
      <c r="B2" s="2"/>
      <c r="C2" s="2"/>
      <c r="D2" s="2"/>
      <c r="E2" s="2"/>
    </row>
    <row r="4" customFormat="false" ht="23.85" hidden="false" customHeight="false" outlineLevel="0" collapsed="false">
      <c r="A4" s="3" t="s">
        <v>10</v>
      </c>
      <c r="B4" s="3" t="s">
        <v>163</v>
      </c>
      <c r="C4" s="3" t="s">
        <v>164</v>
      </c>
      <c r="D4" s="3" t="s">
        <v>165</v>
      </c>
      <c r="E4" s="3" t="s">
        <v>166</v>
      </c>
    </row>
    <row r="5" customFormat="false" ht="31.5" hidden="false" customHeight="true" outlineLevel="0" collapsed="false">
      <c r="A5" s="4" t="s">
        <v>167</v>
      </c>
      <c r="B5" s="4" t="n">
        <v>917</v>
      </c>
      <c r="C5" s="4" t="s">
        <v>168</v>
      </c>
      <c r="D5" s="4" t="s">
        <v>169</v>
      </c>
      <c r="E5" s="4" t="s">
        <v>170</v>
      </c>
    </row>
    <row r="6" customFormat="false" ht="31.5" hidden="false" customHeight="true" outlineLevel="0" collapsed="false">
      <c r="A6" s="5" t="s">
        <v>171</v>
      </c>
      <c r="B6" s="5" t="n">
        <v>975</v>
      </c>
      <c r="C6" s="5" t="s">
        <v>172</v>
      </c>
      <c r="D6" s="5" t="s">
        <v>173</v>
      </c>
      <c r="E6" s="5" t="s">
        <v>174</v>
      </c>
    </row>
    <row r="7" customFormat="false" ht="31.5" hidden="false" customHeight="true" outlineLevel="0" collapsed="false">
      <c r="A7" s="4" t="s">
        <v>175</v>
      </c>
      <c r="B7" s="4" t="n">
        <v>1290</v>
      </c>
      <c r="C7" s="4" t="s">
        <v>176</v>
      </c>
      <c r="D7" s="4" t="s">
        <v>177</v>
      </c>
      <c r="E7" s="4" t="s">
        <v>178</v>
      </c>
    </row>
    <row r="8" customFormat="false" ht="31.5" hidden="false" customHeight="true" outlineLevel="0" collapsed="false">
      <c r="A8" s="5" t="s">
        <v>179</v>
      </c>
      <c r="B8" s="5" t="n">
        <v>1320</v>
      </c>
      <c r="C8" s="5" t="s">
        <v>180</v>
      </c>
      <c r="D8" s="5" t="s">
        <v>181</v>
      </c>
      <c r="E8" s="5" t="s">
        <v>182</v>
      </c>
    </row>
    <row r="9" customFormat="false" ht="31.5" hidden="false" customHeight="true" outlineLevel="0" collapsed="false">
      <c r="A9" s="4" t="s">
        <v>183</v>
      </c>
      <c r="B9" s="4" t="n">
        <v>1510</v>
      </c>
      <c r="C9" s="4" t="s">
        <v>184</v>
      </c>
      <c r="D9" s="4" t="s">
        <v>185</v>
      </c>
      <c r="E9" s="4" t="s">
        <v>186</v>
      </c>
    </row>
    <row r="10" customFormat="false" ht="31.5" hidden="false" customHeight="true" outlineLevel="0" collapsed="false">
      <c r="A10" s="5"/>
      <c r="B10" s="5"/>
      <c r="C10" s="5"/>
      <c r="D10" s="5"/>
      <c r="E10" s="5"/>
    </row>
    <row r="11" customFormat="false" ht="31.5" hidden="false" customHeight="true" outlineLevel="0" collapsed="false">
      <c r="A11" s="16" t="s">
        <v>187</v>
      </c>
      <c r="B11" s="4"/>
      <c r="C11" s="4"/>
      <c r="D11" s="4"/>
      <c r="E11" s="4"/>
    </row>
    <row r="12" customFormat="false" ht="31.5" hidden="false" customHeight="true" outlineLevel="0" collapsed="false">
      <c r="A12" s="5" t="s">
        <v>188</v>
      </c>
      <c r="B12" s="5" t="n">
        <v>101.17</v>
      </c>
      <c r="C12" s="5" t="s">
        <v>189</v>
      </c>
      <c r="D12" s="5" t="s">
        <v>190</v>
      </c>
      <c r="E12" s="5" t="s">
        <v>191</v>
      </c>
    </row>
    <row r="13" customFormat="false" ht="31.5" hidden="false" customHeight="true" outlineLevel="0" collapsed="false">
      <c r="A13" s="4" t="s">
        <v>192</v>
      </c>
      <c r="B13" s="4" t="s">
        <v>193</v>
      </c>
      <c r="C13" s="4" t="s">
        <v>194</v>
      </c>
      <c r="D13" s="4" t="s">
        <v>195</v>
      </c>
      <c r="E13" s="4" t="s">
        <v>196</v>
      </c>
    </row>
    <row r="14" customFormat="false" ht="31.5" hidden="false" customHeight="true" outlineLevel="0" collapsed="false">
      <c r="A14" s="5" t="s">
        <v>197</v>
      </c>
      <c r="B14" s="5" t="n">
        <v>477.1</v>
      </c>
      <c r="C14" s="5" t="s">
        <v>103</v>
      </c>
      <c r="D14" s="5" t="s">
        <v>198</v>
      </c>
      <c r="E14" s="5" t="s">
        <v>199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55"/>
  </cols>
  <sheetData>
    <row r="1" customFormat="false" ht="21.75" hidden="false" customHeight="true" outlineLevel="0" collapsed="false">
      <c r="A1" s="1" t="s">
        <v>200</v>
      </c>
      <c r="B1" s="1"/>
      <c r="C1" s="1"/>
    </row>
    <row r="2" customFormat="false" ht="15.75" hidden="false" customHeight="true" outlineLevel="0" collapsed="false">
      <c r="A2" s="2" t="s">
        <v>201</v>
      </c>
      <c r="B2" s="2"/>
      <c r="C2" s="2"/>
    </row>
    <row r="4" customFormat="false" ht="15" hidden="false" customHeight="false" outlineLevel="0" collapsed="false">
      <c r="A4" s="3" t="s">
        <v>202</v>
      </c>
      <c r="B4" s="3" t="s">
        <v>203</v>
      </c>
      <c r="C4" s="3" t="s">
        <v>204</v>
      </c>
    </row>
    <row r="5" customFormat="false" ht="25.5" hidden="false" customHeight="true" outlineLevel="0" collapsed="false">
      <c r="A5" s="17" t="n">
        <v>1</v>
      </c>
      <c r="B5" s="4" t="s">
        <v>205</v>
      </c>
      <c r="C5" s="4" t="s">
        <v>206</v>
      </c>
    </row>
    <row r="6" customFormat="false" ht="25.5" hidden="false" customHeight="true" outlineLevel="0" collapsed="false">
      <c r="A6" s="18" t="n">
        <v>2</v>
      </c>
      <c r="B6" s="5" t="s">
        <v>207</v>
      </c>
      <c r="C6" s="5" t="s">
        <v>208</v>
      </c>
    </row>
    <row r="7" customFormat="false" ht="25.5" hidden="false" customHeight="true" outlineLevel="0" collapsed="false">
      <c r="A7" s="17" t="n">
        <v>3</v>
      </c>
      <c r="B7" s="4" t="s">
        <v>209</v>
      </c>
      <c r="C7" s="4" t="s">
        <v>210</v>
      </c>
    </row>
    <row r="8" customFormat="false" ht="25.5" hidden="false" customHeight="true" outlineLevel="0" collapsed="false">
      <c r="A8" s="18" t="n">
        <v>4</v>
      </c>
      <c r="B8" s="5" t="s">
        <v>170</v>
      </c>
      <c r="C8" s="5" t="s">
        <v>211</v>
      </c>
    </row>
    <row r="9" customFormat="false" ht="25.5" hidden="false" customHeight="true" outlineLevel="0" collapsed="false">
      <c r="A9" s="17" t="n">
        <v>5</v>
      </c>
      <c r="B9" s="4" t="s">
        <v>212</v>
      </c>
      <c r="C9" s="4" t="s">
        <v>213</v>
      </c>
    </row>
    <row r="10" customFormat="false" ht="25.5" hidden="false" customHeight="true" outlineLevel="0" collapsed="false">
      <c r="A10" s="18" t="n">
        <v>6</v>
      </c>
      <c r="B10" s="5" t="s">
        <v>214</v>
      </c>
      <c r="C10" s="5" t="s">
        <v>215</v>
      </c>
    </row>
    <row r="11" customFormat="false" ht="25.5" hidden="false" customHeight="true" outlineLevel="0" collapsed="false">
      <c r="A11" s="17" t="n">
        <v>7</v>
      </c>
      <c r="B11" s="4" t="s">
        <v>216</v>
      </c>
      <c r="C11" s="4" t="s">
        <v>217</v>
      </c>
    </row>
    <row r="12" customFormat="false" ht="25.5" hidden="false" customHeight="true" outlineLevel="0" collapsed="false">
      <c r="A12" s="18" t="n">
        <v>8</v>
      </c>
      <c r="B12" s="5" t="s">
        <v>218</v>
      </c>
      <c r="C12" s="5" t="s">
        <v>219</v>
      </c>
    </row>
    <row r="13" customFormat="false" ht="25.5" hidden="false" customHeight="true" outlineLevel="0" collapsed="false">
      <c r="A13" s="17" t="n">
        <v>9</v>
      </c>
      <c r="B13" s="4" t="s">
        <v>220</v>
      </c>
      <c r="C13" s="4" t="s">
        <v>221</v>
      </c>
    </row>
    <row r="14" customFormat="false" ht="25.5" hidden="false" customHeight="true" outlineLevel="0" collapsed="false">
      <c r="A14" s="18" t="n">
        <v>10</v>
      </c>
      <c r="B14" s="5" t="s">
        <v>222</v>
      </c>
      <c r="C14" s="5" t="s">
        <v>223</v>
      </c>
    </row>
    <row r="15" customFormat="false" ht="25.5" hidden="false" customHeight="true" outlineLevel="0" collapsed="false">
      <c r="A15" s="17" t="n">
        <v>11</v>
      </c>
      <c r="B15" s="4" t="s">
        <v>224</v>
      </c>
      <c r="C15" s="4" t="s">
        <v>225</v>
      </c>
    </row>
    <row r="16" customFormat="false" ht="25.5" hidden="false" customHeight="true" outlineLevel="0" collapsed="false">
      <c r="A16" s="18" t="n">
        <v>12</v>
      </c>
      <c r="B16" s="5" t="s">
        <v>226</v>
      </c>
      <c r="C16" s="5" t="s">
        <v>227</v>
      </c>
    </row>
    <row r="17" customFormat="false" ht="25.5" hidden="false" customHeight="true" outlineLevel="0" collapsed="false">
      <c r="A17" s="17" t="n">
        <v>13</v>
      </c>
      <c r="B17" s="4" t="s">
        <v>228</v>
      </c>
      <c r="C17" s="4" t="s">
        <v>229</v>
      </c>
    </row>
    <row r="18" customFormat="false" ht="25.5" hidden="false" customHeight="true" outlineLevel="0" collapsed="false">
      <c r="A18" s="18" t="n">
        <v>14</v>
      </c>
      <c r="B18" s="5" t="s">
        <v>230</v>
      </c>
      <c r="C18" s="5" t="s">
        <v>231</v>
      </c>
    </row>
    <row r="19" customFormat="false" ht="25.5" hidden="false" customHeight="true" outlineLevel="0" collapsed="false">
      <c r="A19" s="17" t="n">
        <v>15</v>
      </c>
      <c r="B19" s="4" t="s">
        <v>232</v>
      </c>
      <c r="C19" s="4" t="s">
        <v>233</v>
      </c>
    </row>
    <row r="20" customFormat="false" ht="25.5" hidden="false" customHeight="true" outlineLevel="0" collapsed="false">
      <c r="A20" s="18" t="n">
        <v>16</v>
      </c>
      <c r="B20" s="5" t="s">
        <v>234</v>
      </c>
      <c r="C20" s="5" t="s">
        <v>235</v>
      </c>
    </row>
    <row r="21" customFormat="false" ht="25.5" hidden="false" customHeight="true" outlineLevel="0" collapsed="false">
      <c r="A21" s="17" t="n">
        <v>17</v>
      </c>
      <c r="B21" s="4" t="s">
        <v>236</v>
      </c>
      <c r="C21" s="4" t="s">
        <v>237</v>
      </c>
    </row>
    <row r="22" customFormat="false" ht="25.5" hidden="false" customHeight="true" outlineLevel="0" collapsed="false">
      <c r="A22" s="18" t="n">
        <v>18</v>
      </c>
      <c r="B22" s="5" t="s">
        <v>238</v>
      </c>
      <c r="C22" s="5" t="s">
        <v>239</v>
      </c>
    </row>
    <row r="23" customFormat="false" ht="25.5" hidden="false" customHeight="true" outlineLevel="0" collapsed="false">
      <c r="A23" s="17" t="n">
        <v>19</v>
      </c>
      <c r="B23" s="4" t="s">
        <v>240</v>
      </c>
      <c r="C23" s="4" t="s">
        <v>241</v>
      </c>
    </row>
    <row r="24" customFormat="false" ht="25.5" hidden="false" customHeight="true" outlineLevel="0" collapsed="false">
      <c r="A24" s="18" t="n">
        <v>20</v>
      </c>
      <c r="B24" s="5" t="s">
        <v>242</v>
      </c>
      <c r="C24" s="5" t="s">
        <v>243</v>
      </c>
    </row>
    <row r="25" customFormat="false" ht="25.5" hidden="false" customHeight="true" outlineLevel="0" collapsed="false">
      <c r="A25" s="17" t="n">
        <v>21</v>
      </c>
      <c r="B25" s="4" t="s">
        <v>244</v>
      </c>
      <c r="C25" s="4" t="s">
        <v>245</v>
      </c>
    </row>
    <row r="26" customFormat="false" ht="25.5" hidden="false" customHeight="true" outlineLevel="0" collapsed="false">
      <c r="A26" s="18" t="n">
        <v>22</v>
      </c>
      <c r="B26" s="5" t="s">
        <v>246</v>
      </c>
      <c r="C26" s="5" t="s">
        <v>247</v>
      </c>
    </row>
    <row r="27" customFormat="false" ht="25.5" hidden="false" customHeight="true" outlineLevel="0" collapsed="false">
      <c r="A27" s="17" t="n">
        <v>23</v>
      </c>
      <c r="B27" s="4" t="s">
        <v>248</v>
      </c>
      <c r="C27" s="4" t="s">
        <v>249</v>
      </c>
    </row>
    <row r="28" customFormat="false" ht="25.5" hidden="false" customHeight="true" outlineLevel="0" collapsed="false">
      <c r="A28" s="18" t="n">
        <v>24</v>
      </c>
      <c r="B28" s="5" t="s">
        <v>250</v>
      </c>
      <c r="C28" s="5" t="s">
        <v>251</v>
      </c>
    </row>
    <row r="29" customFormat="false" ht="25.5" hidden="false" customHeight="true" outlineLevel="0" collapsed="false">
      <c r="A29" s="17" t="n">
        <v>25</v>
      </c>
      <c r="B29" s="4" t="s">
        <v>252</v>
      </c>
      <c r="C29" s="4" t="s">
        <v>253</v>
      </c>
    </row>
    <row r="30" customFormat="false" ht="25.5" hidden="false" customHeight="true" outlineLevel="0" collapsed="false">
      <c r="A30" s="18" t="n">
        <v>26</v>
      </c>
      <c r="B30" s="5" t="s">
        <v>254</v>
      </c>
      <c r="C30" s="5" t="s">
        <v>255</v>
      </c>
    </row>
    <row r="31" customFormat="false" ht="25.5" hidden="false" customHeight="true" outlineLevel="0" collapsed="false">
      <c r="A31" s="17" t="n">
        <v>27</v>
      </c>
      <c r="B31" s="4" t="s">
        <v>256</v>
      </c>
      <c r="C31" s="4" t="s">
        <v>257</v>
      </c>
    </row>
    <row r="32" customFormat="false" ht="25.5" hidden="false" customHeight="true" outlineLevel="0" collapsed="false">
      <c r="A32" s="18" t="n">
        <v>28</v>
      </c>
      <c r="B32" s="5" t="s">
        <v>258</v>
      </c>
      <c r="C32" s="5" t="s">
        <v>259</v>
      </c>
    </row>
    <row r="33" customFormat="false" ht="25.5" hidden="false" customHeight="true" outlineLevel="0" collapsed="false">
      <c r="A33" s="17" t="n">
        <v>29</v>
      </c>
      <c r="B33" s="4" t="s">
        <v>260</v>
      </c>
      <c r="C33" s="4" t="s">
        <v>261</v>
      </c>
    </row>
    <row r="34" customFormat="false" ht="25.5" hidden="false" customHeight="true" outlineLevel="0" collapsed="false">
      <c r="A34" s="18" t="n">
        <v>30</v>
      </c>
      <c r="B34" s="5" t="s">
        <v>262</v>
      </c>
      <c r="C34" s="5" t="s">
        <v>263</v>
      </c>
    </row>
    <row r="35" customFormat="false" ht="25.5" hidden="false" customHeight="true" outlineLevel="0" collapsed="false">
      <c r="A35" s="17" t="n">
        <v>31</v>
      </c>
      <c r="B35" s="4" t="s">
        <v>264</v>
      </c>
      <c r="C35" s="4" t="s">
        <v>265</v>
      </c>
    </row>
    <row r="36" customFormat="false" ht="25.5" hidden="false" customHeight="true" outlineLevel="0" collapsed="false">
      <c r="A36" s="18" t="n">
        <v>32</v>
      </c>
      <c r="B36" s="5" t="s">
        <v>266</v>
      </c>
      <c r="C36" s="5" t="s">
        <v>267</v>
      </c>
    </row>
    <row r="37" customFormat="false" ht="25.5" hidden="false" customHeight="true" outlineLevel="0" collapsed="false">
      <c r="A37" s="17" t="n">
        <v>33</v>
      </c>
      <c r="B37" s="4" t="s">
        <v>268</v>
      </c>
      <c r="C37" s="4" t="s">
        <v>269</v>
      </c>
    </row>
    <row r="38" customFormat="false" ht="25.5" hidden="false" customHeight="true" outlineLevel="0" collapsed="false">
      <c r="A38" s="18" t="n">
        <v>34</v>
      </c>
      <c r="B38" s="5" t="s">
        <v>270</v>
      </c>
      <c r="C38" s="5" t="s">
        <v>271</v>
      </c>
    </row>
    <row r="39" customFormat="false" ht="25.5" hidden="false" customHeight="true" outlineLevel="0" collapsed="false">
      <c r="A39" s="17" t="n">
        <v>35</v>
      </c>
      <c r="B39" s="4" t="s">
        <v>272</v>
      </c>
      <c r="C39" s="4" t="s">
        <v>273</v>
      </c>
    </row>
    <row r="40" customFormat="false" ht="25.5" hidden="false" customHeight="true" outlineLevel="0" collapsed="false">
      <c r="A40" s="18" t="n">
        <v>36</v>
      </c>
      <c r="B40" s="5" t="s">
        <v>274</v>
      </c>
      <c r="C40" s="5" t="s">
        <v>275</v>
      </c>
    </row>
    <row r="41" customFormat="false" ht="25.5" hidden="false" customHeight="true" outlineLevel="0" collapsed="false">
      <c r="A41" s="17" t="n">
        <v>37</v>
      </c>
      <c r="B41" s="4" t="s">
        <v>276</v>
      </c>
      <c r="C41" s="4" t="s">
        <v>277</v>
      </c>
    </row>
    <row r="42" customFormat="false" ht="25.5" hidden="false" customHeight="true" outlineLevel="0" collapsed="false">
      <c r="A42" s="18" t="n">
        <v>38</v>
      </c>
      <c r="B42" s="5" t="s">
        <v>278</v>
      </c>
      <c r="C42" s="5" t="s">
        <v>279</v>
      </c>
    </row>
    <row r="43" customFormat="false" ht="25.5" hidden="false" customHeight="true" outlineLevel="0" collapsed="false">
      <c r="A43" s="17" t="n">
        <v>39</v>
      </c>
      <c r="B43" s="4" t="s">
        <v>280</v>
      </c>
      <c r="C43" s="4" t="s">
        <v>281</v>
      </c>
    </row>
    <row r="44" customFormat="false" ht="25.5" hidden="false" customHeight="true" outlineLevel="0" collapsed="false">
      <c r="A44" s="18" t="n">
        <v>40</v>
      </c>
      <c r="B44" s="5" t="s">
        <v>282</v>
      </c>
      <c r="C44" s="5" t="s">
        <v>283</v>
      </c>
    </row>
    <row r="45" customFormat="false" ht="25.5" hidden="false" customHeight="true" outlineLevel="0" collapsed="false">
      <c r="A45" s="17" t="n">
        <v>41</v>
      </c>
      <c r="B45" s="4" t="s">
        <v>284</v>
      </c>
      <c r="C45" s="4" t="s">
        <v>285</v>
      </c>
    </row>
    <row r="46" customFormat="false" ht="25.5" hidden="false" customHeight="true" outlineLevel="0" collapsed="false">
      <c r="A46" s="18" t="n">
        <v>42</v>
      </c>
      <c r="B46" s="5" t="s">
        <v>286</v>
      </c>
      <c r="C46" s="5" t="s">
        <v>287</v>
      </c>
    </row>
    <row r="47" customFormat="false" ht="25.5" hidden="false" customHeight="true" outlineLevel="0" collapsed="false">
      <c r="A47" s="17" t="n">
        <v>43</v>
      </c>
      <c r="B47" s="4" t="s">
        <v>288</v>
      </c>
      <c r="C47" s="4" t="s">
        <v>289</v>
      </c>
    </row>
    <row r="48" customFormat="false" ht="25.5" hidden="false" customHeight="true" outlineLevel="0" collapsed="false">
      <c r="A48" s="18" t="n">
        <v>44</v>
      </c>
      <c r="B48" s="5" t="s">
        <v>290</v>
      </c>
      <c r="C48" s="5" t="s">
        <v>291</v>
      </c>
    </row>
    <row r="49" customFormat="false" ht="25.5" hidden="false" customHeight="true" outlineLevel="0" collapsed="false">
      <c r="A49" s="17" t="n">
        <v>45</v>
      </c>
      <c r="B49" s="4" t="s">
        <v>292</v>
      </c>
      <c r="C49" s="4" t="s">
        <v>293</v>
      </c>
    </row>
    <row r="50" customFormat="false" ht="25.5" hidden="false" customHeight="true" outlineLevel="0" collapsed="false">
      <c r="A50" s="18" t="n">
        <v>46</v>
      </c>
      <c r="B50" s="5" t="s">
        <v>294</v>
      </c>
      <c r="C50" s="5" t="s">
        <v>295</v>
      </c>
    </row>
    <row r="51" customFormat="false" ht="25.5" hidden="false" customHeight="true" outlineLevel="0" collapsed="false">
      <c r="A51" s="17" t="n">
        <v>47</v>
      </c>
      <c r="B51" s="4" t="s">
        <v>296</v>
      </c>
      <c r="C51" s="4" t="s">
        <v>297</v>
      </c>
    </row>
    <row r="52" customFormat="false" ht="25.5" hidden="false" customHeight="true" outlineLevel="0" collapsed="false">
      <c r="A52" s="18" t="n">
        <v>48</v>
      </c>
      <c r="B52" s="5" t="s">
        <v>298</v>
      </c>
      <c r="C52" s="5" t="s">
        <v>299</v>
      </c>
    </row>
    <row r="53" customFormat="false" ht="25.5" hidden="false" customHeight="true" outlineLevel="0" collapsed="false">
      <c r="A53" s="17" t="n">
        <v>49</v>
      </c>
      <c r="B53" s="4" t="s">
        <v>300</v>
      </c>
      <c r="C53" s="4" t="s">
        <v>301</v>
      </c>
    </row>
    <row r="54" customFormat="false" ht="25.5" hidden="false" customHeight="true" outlineLevel="0" collapsed="false">
      <c r="A54" s="18" t="n">
        <v>50</v>
      </c>
      <c r="B54" s="5" t="s">
        <v>302</v>
      </c>
      <c r="C54" s="5" t="s">
        <v>303</v>
      </c>
    </row>
    <row r="55" customFormat="false" ht="25.5" hidden="false" customHeight="true" outlineLevel="0" collapsed="false">
      <c r="A55" s="17" t="n">
        <v>51</v>
      </c>
      <c r="B55" s="4" t="s">
        <v>304</v>
      </c>
      <c r="C55" s="4" t="s">
        <v>305</v>
      </c>
    </row>
    <row r="56" customFormat="false" ht="25.5" hidden="false" customHeight="true" outlineLevel="0" collapsed="false">
      <c r="A56" s="18" t="n">
        <v>52</v>
      </c>
      <c r="B56" s="5" t="s">
        <v>306</v>
      </c>
      <c r="C56" s="5" t="s">
        <v>307</v>
      </c>
    </row>
    <row r="57" customFormat="false" ht="25.5" hidden="false" customHeight="true" outlineLevel="0" collapsed="false">
      <c r="A57" s="17" t="n">
        <v>53</v>
      </c>
      <c r="B57" s="4" t="s">
        <v>308</v>
      </c>
      <c r="C57" s="4" t="s">
        <v>309</v>
      </c>
    </row>
    <row r="58" customFormat="false" ht="25.5" hidden="false" customHeight="true" outlineLevel="0" collapsed="false">
      <c r="A58" s="18" t="n">
        <v>54</v>
      </c>
      <c r="B58" s="5" t="s">
        <v>310</v>
      </c>
      <c r="C58" s="5" t="s">
        <v>311</v>
      </c>
    </row>
    <row r="59" customFormat="false" ht="25.5" hidden="false" customHeight="true" outlineLevel="0" collapsed="false">
      <c r="A59" s="17" t="n">
        <v>55</v>
      </c>
      <c r="B59" s="4" t="s">
        <v>312</v>
      </c>
      <c r="C59" s="4" t="s">
        <v>313</v>
      </c>
    </row>
    <row r="60" customFormat="false" ht="25.5" hidden="false" customHeight="true" outlineLevel="0" collapsed="false">
      <c r="A60" s="18" t="n">
        <v>56</v>
      </c>
      <c r="B60" s="5" t="s">
        <v>314</v>
      </c>
      <c r="C60" s="5" t="s">
        <v>315</v>
      </c>
    </row>
    <row r="61" customFormat="false" ht="25.5" hidden="false" customHeight="true" outlineLevel="0" collapsed="false">
      <c r="A61" s="17" t="n">
        <v>57</v>
      </c>
      <c r="B61" s="4" t="s">
        <v>316</v>
      </c>
      <c r="C61" s="4" t="s">
        <v>317</v>
      </c>
    </row>
    <row r="62" customFormat="false" ht="25.5" hidden="false" customHeight="true" outlineLevel="0" collapsed="false">
      <c r="A62" s="18" t="n">
        <v>58</v>
      </c>
      <c r="B62" s="5" t="s">
        <v>318</v>
      </c>
      <c r="C62" s="5" t="s">
        <v>319</v>
      </c>
    </row>
    <row r="63" customFormat="false" ht="25.5" hidden="false" customHeight="true" outlineLevel="0" collapsed="false">
      <c r="A63" s="17" t="n">
        <v>59</v>
      </c>
      <c r="B63" s="4" t="s">
        <v>320</v>
      </c>
      <c r="C63" s="4" t="s">
        <v>321</v>
      </c>
    </row>
    <row r="64" customFormat="false" ht="25.5" hidden="false" customHeight="true" outlineLevel="0" collapsed="false">
      <c r="A64" s="18" t="n">
        <v>60</v>
      </c>
      <c r="B64" s="5" t="s">
        <v>322</v>
      </c>
      <c r="C64" s="5" t="s">
        <v>323</v>
      </c>
    </row>
    <row r="65" customFormat="false" ht="25.5" hidden="false" customHeight="true" outlineLevel="0" collapsed="false">
      <c r="A65" s="17" t="n">
        <v>61</v>
      </c>
      <c r="B65" s="4" t="s">
        <v>324</v>
      </c>
      <c r="C65" s="4" t="s">
        <v>325</v>
      </c>
    </row>
    <row r="66" customFormat="false" ht="25.5" hidden="false" customHeight="true" outlineLevel="0" collapsed="false">
      <c r="A66" s="18" t="n">
        <v>62</v>
      </c>
      <c r="B66" s="5" t="s">
        <v>326</v>
      </c>
      <c r="C66" s="5" t="s">
        <v>327</v>
      </c>
    </row>
    <row r="67" customFormat="false" ht="25.5" hidden="false" customHeight="true" outlineLevel="0" collapsed="false">
      <c r="A67" s="17" t="n">
        <v>63</v>
      </c>
      <c r="B67" s="4" t="s">
        <v>328</v>
      </c>
      <c r="C67" s="4" t="s">
        <v>329</v>
      </c>
    </row>
    <row r="68" customFormat="false" ht="25.5" hidden="false" customHeight="true" outlineLevel="0" collapsed="false">
      <c r="A68" s="18" t="n">
        <v>64</v>
      </c>
      <c r="B68" s="5" t="s">
        <v>330</v>
      </c>
      <c r="C68" s="5" t="s">
        <v>331</v>
      </c>
    </row>
    <row r="69" customFormat="false" ht="25.5" hidden="false" customHeight="true" outlineLevel="0" collapsed="false">
      <c r="A69" s="17" t="n">
        <v>65</v>
      </c>
      <c r="B69" s="4" t="s">
        <v>332</v>
      </c>
      <c r="C69" s="4" t="s">
        <v>333</v>
      </c>
    </row>
    <row r="70" customFormat="false" ht="25.5" hidden="false" customHeight="true" outlineLevel="0" collapsed="false">
      <c r="A70" s="18" t="n">
        <v>66</v>
      </c>
      <c r="B70" s="5" t="s">
        <v>334</v>
      </c>
      <c r="C70" s="5" t="s">
        <v>335</v>
      </c>
    </row>
    <row r="71" customFormat="false" ht="25.5" hidden="false" customHeight="true" outlineLevel="0" collapsed="false">
      <c r="A71" s="17" t="n">
        <v>67</v>
      </c>
      <c r="B71" s="4" t="s">
        <v>336</v>
      </c>
      <c r="C71" s="4" t="s">
        <v>337</v>
      </c>
    </row>
    <row r="72" customFormat="false" ht="25.5" hidden="false" customHeight="true" outlineLevel="0" collapsed="false">
      <c r="A72" s="18" t="n">
        <v>68</v>
      </c>
      <c r="B72" s="5" t="s">
        <v>338</v>
      </c>
      <c r="C72" s="5" t="s">
        <v>339</v>
      </c>
    </row>
    <row r="73" customFormat="false" ht="25.5" hidden="false" customHeight="true" outlineLevel="0" collapsed="false">
      <c r="A73" s="17" t="n">
        <v>69</v>
      </c>
      <c r="B73" s="4" t="s">
        <v>340</v>
      </c>
      <c r="C73" s="4" t="s">
        <v>341</v>
      </c>
    </row>
    <row r="74" customFormat="false" ht="25.5" hidden="false" customHeight="true" outlineLevel="0" collapsed="false">
      <c r="A74" s="18" t="n">
        <v>70</v>
      </c>
      <c r="B74" s="5" t="s">
        <v>342</v>
      </c>
      <c r="C74" s="5" t="s">
        <v>343</v>
      </c>
    </row>
    <row r="75" customFormat="false" ht="25.5" hidden="false" customHeight="true" outlineLevel="0" collapsed="false">
      <c r="A75" s="17" t="n">
        <v>71</v>
      </c>
      <c r="B75" s="4" t="s">
        <v>344</v>
      </c>
      <c r="C75" s="4" t="s">
        <v>345</v>
      </c>
    </row>
    <row r="76" customFormat="false" ht="25.5" hidden="false" customHeight="true" outlineLevel="0" collapsed="false">
      <c r="A76" s="18" t="n">
        <v>72</v>
      </c>
      <c r="B76" s="5" t="s">
        <v>346</v>
      </c>
      <c r="C76" s="5" t="s">
        <v>347</v>
      </c>
    </row>
    <row r="77" customFormat="false" ht="25.5" hidden="false" customHeight="true" outlineLevel="0" collapsed="false">
      <c r="A77" s="17" t="n">
        <v>73</v>
      </c>
      <c r="B77" s="4" t="s">
        <v>348</v>
      </c>
      <c r="C77" s="4" t="s">
        <v>349</v>
      </c>
    </row>
    <row r="78" customFormat="false" ht="25.5" hidden="false" customHeight="true" outlineLevel="0" collapsed="false">
      <c r="A78" s="18" t="n">
        <v>74</v>
      </c>
      <c r="B78" s="5" t="s">
        <v>350</v>
      </c>
      <c r="C78" s="5" t="s">
        <v>351</v>
      </c>
    </row>
    <row r="79" customFormat="false" ht="25.5" hidden="false" customHeight="true" outlineLevel="0" collapsed="false">
      <c r="A79" s="17" t="n">
        <v>75</v>
      </c>
      <c r="B79" s="4" t="s">
        <v>352</v>
      </c>
      <c r="C79" s="4" t="s">
        <v>353</v>
      </c>
    </row>
    <row r="80" customFormat="false" ht="25.5" hidden="false" customHeight="true" outlineLevel="0" collapsed="false">
      <c r="A80" s="18" t="n">
        <v>76</v>
      </c>
      <c r="B80" s="5" t="s">
        <v>354</v>
      </c>
      <c r="C80" s="5" t="s">
        <v>355</v>
      </c>
    </row>
    <row r="81" customFormat="false" ht="25.5" hidden="false" customHeight="true" outlineLevel="0" collapsed="false">
      <c r="A81" s="17" t="n">
        <v>77</v>
      </c>
      <c r="B81" s="4" t="s">
        <v>356</v>
      </c>
      <c r="C81" s="4" t="s">
        <v>357</v>
      </c>
    </row>
    <row r="82" customFormat="false" ht="25.5" hidden="false" customHeight="true" outlineLevel="0" collapsed="false">
      <c r="A82" s="18" t="n">
        <v>78</v>
      </c>
      <c r="B82" s="5" t="s">
        <v>358</v>
      </c>
      <c r="C82" s="5" t="s">
        <v>359</v>
      </c>
    </row>
    <row r="83" customFormat="false" ht="25.5" hidden="false" customHeight="true" outlineLevel="0" collapsed="false">
      <c r="A83" s="17" t="n">
        <v>79</v>
      </c>
      <c r="B83" s="4" t="s">
        <v>360</v>
      </c>
      <c r="C83" s="4" t="s">
        <v>361</v>
      </c>
    </row>
    <row r="84" customFormat="false" ht="25.5" hidden="false" customHeight="true" outlineLevel="0" collapsed="false">
      <c r="A84" s="18" t="n">
        <v>80</v>
      </c>
      <c r="B84" s="5" t="s">
        <v>362</v>
      </c>
      <c r="C84" s="5" t="s">
        <v>363</v>
      </c>
    </row>
    <row r="85" customFormat="false" ht="25.5" hidden="false" customHeight="true" outlineLevel="0" collapsed="false">
      <c r="A85" s="17" t="n">
        <v>81</v>
      </c>
      <c r="B85" s="4" t="s">
        <v>364</v>
      </c>
      <c r="C85" s="4" t="s">
        <v>365</v>
      </c>
    </row>
    <row r="86" customFormat="false" ht="25.5" hidden="false" customHeight="true" outlineLevel="0" collapsed="false">
      <c r="A86" s="18" t="n">
        <v>82</v>
      </c>
      <c r="B86" s="5" t="s">
        <v>366</v>
      </c>
      <c r="C86" s="5" t="s">
        <v>367</v>
      </c>
    </row>
    <row r="87" customFormat="false" ht="25.5" hidden="false" customHeight="true" outlineLevel="0" collapsed="false">
      <c r="A87" s="17" t="n">
        <v>83</v>
      </c>
      <c r="B87" s="4" t="s">
        <v>368</v>
      </c>
      <c r="C87" s="4" t="s">
        <v>369</v>
      </c>
    </row>
    <row r="88" customFormat="false" ht="25.5" hidden="false" customHeight="true" outlineLevel="0" collapsed="false">
      <c r="A88" s="18" t="n">
        <v>84</v>
      </c>
      <c r="B88" s="5" t="s">
        <v>370</v>
      </c>
      <c r="C88" s="5" t="s">
        <v>371</v>
      </c>
    </row>
    <row r="89" customFormat="false" ht="25.5" hidden="false" customHeight="true" outlineLevel="0" collapsed="false">
      <c r="A89" s="17" t="n">
        <v>85</v>
      </c>
      <c r="B89" s="4" t="s">
        <v>372</v>
      </c>
      <c r="C89" s="4" t="s">
        <v>373</v>
      </c>
    </row>
    <row r="90" customFormat="false" ht="25.5" hidden="false" customHeight="true" outlineLevel="0" collapsed="false">
      <c r="A90" s="18" t="n">
        <v>86</v>
      </c>
      <c r="B90" s="5" t="s">
        <v>374</v>
      </c>
      <c r="C90" s="5" t="s">
        <v>375</v>
      </c>
    </row>
    <row r="91" customFormat="false" ht="25.5" hidden="false" customHeight="true" outlineLevel="0" collapsed="false">
      <c r="A91" s="17" t="n">
        <v>87</v>
      </c>
      <c r="B91" s="4" t="s">
        <v>376</v>
      </c>
      <c r="C91" s="4" t="s">
        <v>377</v>
      </c>
    </row>
    <row r="92" customFormat="false" ht="25.5" hidden="false" customHeight="true" outlineLevel="0" collapsed="false">
      <c r="A92" s="18" t="n">
        <v>88</v>
      </c>
      <c r="B92" s="5" t="s">
        <v>378</v>
      </c>
      <c r="C92" s="5" t="s">
        <v>379</v>
      </c>
    </row>
    <row r="93" customFormat="false" ht="25.5" hidden="false" customHeight="true" outlineLevel="0" collapsed="false">
      <c r="A93" s="17" t="n">
        <v>89</v>
      </c>
      <c r="B93" s="4" t="s">
        <v>380</v>
      </c>
      <c r="C93" s="4" t="s">
        <v>381</v>
      </c>
    </row>
    <row r="94" customFormat="false" ht="25.5" hidden="false" customHeight="true" outlineLevel="0" collapsed="false">
      <c r="A94" s="18" t="n">
        <v>90</v>
      </c>
      <c r="B94" s="5" t="s">
        <v>382</v>
      </c>
      <c r="C94" s="5" t="s">
        <v>383</v>
      </c>
    </row>
    <row r="95" customFormat="false" ht="25.5" hidden="false" customHeight="true" outlineLevel="0" collapsed="false">
      <c r="A95" s="17" t="n">
        <v>91</v>
      </c>
      <c r="B95" s="4" t="s">
        <v>384</v>
      </c>
      <c r="C95" s="4" t="s">
        <v>385</v>
      </c>
    </row>
    <row r="96" customFormat="false" ht="25.5" hidden="false" customHeight="true" outlineLevel="0" collapsed="false">
      <c r="A96" s="18" t="n">
        <v>92</v>
      </c>
      <c r="B96" s="5" t="s">
        <v>386</v>
      </c>
      <c r="C96" s="5" t="s">
        <v>387</v>
      </c>
    </row>
    <row r="97" customFormat="false" ht="25.5" hidden="false" customHeight="true" outlineLevel="0" collapsed="false">
      <c r="A97" s="17" t="n">
        <v>93</v>
      </c>
      <c r="B97" s="4" t="s">
        <v>388</v>
      </c>
      <c r="C97" s="4" t="s">
        <v>389</v>
      </c>
    </row>
    <row r="98" customFormat="false" ht="25.5" hidden="false" customHeight="true" outlineLevel="0" collapsed="false">
      <c r="A98" s="18" t="n">
        <v>94</v>
      </c>
      <c r="B98" s="5" t="s">
        <v>390</v>
      </c>
      <c r="C98" s="5" t="s">
        <v>391</v>
      </c>
    </row>
    <row r="99" customFormat="false" ht="25.5" hidden="false" customHeight="true" outlineLevel="0" collapsed="false">
      <c r="A99" s="17" t="n">
        <v>95</v>
      </c>
      <c r="B99" s="4" t="s">
        <v>392</v>
      </c>
      <c r="C99" s="4" t="s">
        <v>393</v>
      </c>
    </row>
    <row r="100" customFormat="false" ht="25.5" hidden="false" customHeight="true" outlineLevel="0" collapsed="false">
      <c r="A100" s="18" t="n">
        <v>96</v>
      </c>
      <c r="B100" s="5" t="s">
        <v>394</v>
      </c>
      <c r="C100" s="5" t="s">
        <v>395</v>
      </c>
    </row>
    <row r="101" customFormat="false" ht="25.5" hidden="false" customHeight="true" outlineLevel="0" collapsed="false">
      <c r="A101" s="17" t="n">
        <v>97</v>
      </c>
      <c r="B101" s="4" t="s">
        <v>396</v>
      </c>
      <c r="C101" s="4" t="s">
        <v>397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2026-08-25T12:36:18Z</dcterms:created>
  <dc:creator>openpyxl</dc:creator>
  <dc:description/>
  <dc:language>en-US</dc:language>
  <cp:lastModifiedBy/>
  <dcterms:modified xsi:type="dcterms:W3CDTF">2026-08-25T12:36:18Z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